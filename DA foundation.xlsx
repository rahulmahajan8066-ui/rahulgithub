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093785f9e679de4/Desktop/"/>
    </mc:Choice>
  </mc:AlternateContent>
  <xr:revisionPtr revIDLastSave="0" documentId="8_{B63682DE-02E4-4893-A202-746B3A251F53}" xr6:coauthVersionLast="47" xr6:coauthVersionMax="47" xr10:uidLastSave="{00000000-0000-0000-0000-000000000000}"/>
  <bookViews>
    <workbookView xWindow="-108" yWindow="-108" windowWidth="23256" windowHeight="12456" activeTab="1" xr2:uid="{334273AE-E1A5-4C8E-AF6B-099499AF2738}"/>
  </bookViews>
  <sheets>
    <sheet name="MCD&amp;MOV" sheetId="1" r:id="rId1"/>
    <sheet name="Histogram" sheetId="2" r:id="rId2"/>
    <sheet name="Scatter Plot" sheetId="3" r:id="rId3"/>
    <sheet name="Regression" sheetId="4" r:id="rId4"/>
    <sheet name="Multiple Regression" sheetId="5" r:id="rId5"/>
    <sheet name="Time series analysis" sheetId="6" r:id="rId6"/>
    <sheet name="+ve correlation" sheetId="7" r:id="rId7"/>
    <sheet name="-ve correlation" sheetId="8" r:id="rId8"/>
  </sheets>
  <definedNames>
    <definedName name="_xlchart.v1.0" hidden="1">Histogram!$A$1</definedName>
    <definedName name="_xlchart.v1.1" hidden="1">Histogram!$A$2:$A$201</definedName>
    <definedName name="_xlchart.v1.2" hidden="1">Histogram!$A$1</definedName>
    <definedName name="_xlchart.v1.3" hidden="1">Histogram!$A$2:$A$201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5" l="1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3" i="5"/>
  <c r="G4" i="5"/>
  <c r="G5" i="5"/>
  <c r="G6" i="5"/>
  <c r="G7" i="5"/>
  <c r="G8" i="5"/>
  <c r="G9" i="5"/>
  <c r="G10" i="5"/>
  <c r="G2" i="5"/>
  <c r="C18" i="1" l="1"/>
  <c r="B18" i="1"/>
  <c r="C17" i="1"/>
  <c r="B17" i="1"/>
  <c r="C16" i="1"/>
  <c r="B16" i="1"/>
  <c r="C15" i="1"/>
  <c r="B15" i="1"/>
  <c r="C14" i="1"/>
  <c r="B14" i="1"/>
  <c r="C13" i="1"/>
  <c r="B13" i="1"/>
  <c r="C11" i="1"/>
  <c r="B11" i="1"/>
  <c r="C10" i="1"/>
  <c r="B10" i="1"/>
</calcChain>
</file>

<file path=xl/sharedStrings.xml><?xml version="1.0" encoding="utf-8"?>
<sst xmlns="http://schemas.openxmlformats.org/spreadsheetml/2006/main" count="113" uniqueCount="57">
  <si>
    <t>Delays_Train_A</t>
  </si>
  <si>
    <t>Delays_Train_B</t>
  </si>
  <si>
    <t>Day 1</t>
  </si>
  <si>
    <t>Day 2</t>
  </si>
  <si>
    <t>Day 3</t>
  </si>
  <si>
    <t>Day 4</t>
  </si>
  <si>
    <t>Day 5</t>
  </si>
  <si>
    <t>Both Train A and Train B arrive late regularly. We have 5 days of information available; which train would you select for your journey?</t>
  </si>
  <si>
    <t>Mean</t>
  </si>
  <si>
    <t>Median</t>
  </si>
  <si>
    <t>Range</t>
  </si>
  <si>
    <t>Q1</t>
  </si>
  <si>
    <t>Q3</t>
  </si>
  <si>
    <t>IQR</t>
  </si>
  <si>
    <t>Variance</t>
  </si>
  <si>
    <t>Standard Deviation</t>
  </si>
  <si>
    <t>Ans: we can go by train A because the train delay time is less than train B</t>
  </si>
  <si>
    <t>sale</t>
  </si>
  <si>
    <t>Temperature (Deg Cel)</t>
  </si>
  <si>
    <t>Sales of Soft Drinks (USD Millions)</t>
  </si>
  <si>
    <r>
      <t xml:space="preserve">Generally, as </t>
    </r>
    <r>
      <rPr>
        <b/>
        <sz val="11"/>
        <color theme="1"/>
        <rFont val="Aptos Narrow"/>
        <family val="2"/>
        <scheme val="minor"/>
      </rPr>
      <t>temperature increases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sales of soft drinks should also increase</t>
    </r>
    <r>
      <rPr>
        <sz val="11"/>
        <color theme="1"/>
        <rFont val="Aptos Narrow"/>
        <family val="2"/>
        <scheme val="minor"/>
      </rPr>
      <t>, because people consume more cold drinks in hot weather.</t>
    </r>
  </si>
  <si>
    <t>Area</t>
  </si>
  <si>
    <t>Price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</si>
  <si>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</si>
  <si>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</si>
  <si>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</si>
  <si>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</si>
  <si>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</si>
  <si>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</si>
  <si>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</si>
  <si>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</si>
  <si>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</si>
  <si>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</si>
  <si>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</si>
  <si>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</si>
  <si>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</si>
  <si>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</si>
  <si>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</si>
  <si>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</si>
  <si>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</si>
  <si>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</si>
  <si>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</si>
  <si>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</si>
  <si>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</si>
  <si>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</si>
  <si>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</si>
  <si>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</si>
  <si>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TV</t>
  </si>
  <si>
    <t>Radio</t>
  </si>
  <si>
    <t>Newspaper</t>
  </si>
  <si>
    <t>Sales</t>
  </si>
  <si>
    <t>Estimated sale</t>
  </si>
  <si>
    <t>Month</t>
  </si>
  <si>
    <t>Avg time spent</t>
  </si>
  <si>
    <t>Exam scores</t>
  </si>
  <si>
    <t xml:space="preserve">Discount </t>
  </si>
  <si>
    <t>profit per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</si>
</sst>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1" fontId="3" fillId="0" borderId="0" xfId="0" applyNumberFormat="1" applyFont="1" applyAlignment="1">
      <alignment horizontal="center"/>
    </xf>
    <xf numFmtId="1" fontId="4" fillId="0" borderId="0" xfId="0" applyNumberFormat="1" applyFont="1"/>
    <xf numFmtId="1" fontId="3" fillId="0" borderId="0" xfId="0" applyNumberFormat="1" applyFont="1"/>
    <xf numFmtId="0" fontId="1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wrapText="1"/>
    </xf>
    <xf numFmtId="1" fontId="5" fillId="0" borderId="0" xfId="0" applyNumberFormat="1" applyFont="1" applyAlignment="1">
      <alignment horizontal="center"/>
    </xf>
    <xf numFmtId="1" fontId="6" fillId="0" borderId="0" xfId="0" applyNumberFormat="1" applyFont="1" applyAlignment="1">
      <alignment horizontal="center"/>
    </xf>
    <xf numFmtId="164" fontId="6" fillId="0" borderId="0" xfId="0" applyNumberFormat="1" applyFont="1" applyAlignment="1">
      <alignment horizontal="center"/>
    </xf>
    <xf numFmtId="164" fontId="5" fillId="0" borderId="0" xfId="0" applyNumberFormat="1" applyFont="1" applyAlignment="1">
      <alignment horizontal="center"/>
    </xf>
    <xf numFmtId="1" fontId="0" fillId="0" borderId="0" xfId="0" applyNumberFormat="1"/>
    <xf numFmtId="0" fontId="0" fillId="3" borderId="0" xfId="0" applyFill="1"/>
    <xf numFmtId="0" fontId="1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7" fillId="0" borderId="2" xfId="0" applyFont="1" applyFill="1" applyBorder="1" applyAlignment="1">
      <alignment horizontal="center"/>
    </xf>
    <xf numFmtId="0" fontId="7" fillId="0" borderId="2" xfId="0" applyFont="1" applyFill="1" applyBorder="1" applyAlignment="1">
      <alignment horizontal="centerContinuous"/>
    </xf>
    <xf numFmtId="0" fontId="2" fillId="0" borderId="0" xfId="0" applyFont="1"/>
    <xf numFmtId="17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'Scatter Plot'!$B$1</c:f>
              <c:strCache>
                <c:ptCount val="1"/>
                <c:pt idx="0">
                  <c:v>Sales of Soft Drinks (USD Millions)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'Scatter Plot'!$A$2:$A$9</c:f>
              <c:numCache>
                <c:formatCode>General</c:formatCode>
                <c:ptCount val="8"/>
                <c:pt idx="0">
                  <c:v>22</c:v>
                </c:pt>
                <c:pt idx="1">
                  <c:v>25</c:v>
                </c:pt>
                <c:pt idx="2">
                  <c:v>30</c:v>
                </c:pt>
                <c:pt idx="3">
                  <c:v>32</c:v>
                </c:pt>
                <c:pt idx="4">
                  <c:v>35</c:v>
                </c:pt>
                <c:pt idx="5">
                  <c:v>21</c:v>
                </c:pt>
                <c:pt idx="6">
                  <c:v>24</c:v>
                </c:pt>
                <c:pt idx="7">
                  <c:v>25</c:v>
                </c:pt>
              </c:numCache>
            </c:numRef>
          </c:xVal>
          <c:yVal>
            <c:numRef>
              <c:f>'Scatter Plot'!$B$2:$B$9</c:f>
              <c:numCache>
                <c:formatCode>General</c:formatCode>
                <c:ptCount val="8"/>
                <c:pt idx="0">
                  <c:v>10</c:v>
                </c:pt>
                <c:pt idx="1">
                  <c:v>12</c:v>
                </c:pt>
                <c:pt idx="2">
                  <c:v>30</c:v>
                </c:pt>
                <c:pt idx="3">
                  <c:v>25</c:v>
                </c:pt>
                <c:pt idx="4">
                  <c:v>22</c:v>
                </c:pt>
                <c:pt idx="5">
                  <c:v>13</c:v>
                </c:pt>
                <c:pt idx="6">
                  <c:v>11</c:v>
                </c:pt>
                <c:pt idx="7">
                  <c:v>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C4-48A3-A542-1B58FB2DEB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3013152"/>
        <c:axId val="1523013632"/>
      </c:scatterChart>
      <c:valAx>
        <c:axId val="1523013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13632"/>
        <c:crosses val="autoZero"/>
        <c:crossBetween val="midCat"/>
      </c:valAx>
      <c:valAx>
        <c:axId val="152301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30131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'Time series analysis'!$B$1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'Time series analysis'!$A$2:$A$21</c:f>
              <c:numCache>
                <c:formatCode>mmm\-yy</c:formatCode>
                <c:ptCount val="20"/>
                <c:pt idx="0">
                  <c:v>44562</c:v>
                </c:pt>
                <c:pt idx="1">
                  <c:v>44593</c:v>
                </c:pt>
                <c:pt idx="2">
                  <c:v>44621</c:v>
                </c:pt>
                <c:pt idx="3">
                  <c:v>44652</c:v>
                </c:pt>
                <c:pt idx="4">
                  <c:v>44682</c:v>
                </c:pt>
                <c:pt idx="5">
                  <c:v>44713</c:v>
                </c:pt>
                <c:pt idx="6">
                  <c:v>44743</c:v>
                </c:pt>
                <c:pt idx="7">
                  <c:v>44774</c:v>
                </c:pt>
                <c:pt idx="8">
                  <c:v>44805</c:v>
                </c:pt>
                <c:pt idx="9">
                  <c:v>44835</c:v>
                </c:pt>
                <c:pt idx="10">
                  <c:v>44866</c:v>
                </c:pt>
                <c:pt idx="11">
                  <c:v>44896</c:v>
                </c:pt>
                <c:pt idx="12">
                  <c:v>44927</c:v>
                </c:pt>
                <c:pt idx="13">
                  <c:v>44958</c:v>
                </c:pt>
                <c:pt idx="14">
                  <c:v>44986</c:v>
                </c:pt>
                <c:pt idx="15">
                  <c:v>45017</c:v>
                </c:pt>
                <c:pt idx="16">
                  <c:v>45047</c:v>
                </c:pt>
                <c:pt idx="17">
                  <c:v>45078</c:v>
                </c:pt>
                <c:pt idx="18">
                  <c:v>45108</c:v>
                </c:pt>
                <c:pt idx="19">
                  <c:v>45139</c:v>
                </c:pt>
              </c:numCache>
            </c:numRef>
          </c:cat>
          <c:val>
            <c:numRef>
              <c:f>'Time series analysis'!$B$2:$B$21</c:f>
              <c:numCache>
                <c:formatCode>General</c:formatCode>
                <c:ptCount val="20"/>
                <c:pt idx="0">
                  <c:v>4800</c:v>
                </c:pt>
                <c:pt idx="1">
                  <c:v>4100</c:v>
                </c:pt>
                <c:pt idx="2">
                  <c:v>6000</c:v>
                </c:pt>
                <c:pt idx="3">
                  <c:v>6500</c:v>
                </c:pt>
                <c:pt idx="4">
                  <c:v>5800</c:v>
                </c:pt>
                <c:pt idx="5">
                  <c:v>5200</c:v>
                </c:pt>
                <c:pt idx="6">
                  <c:v>6800</c:v>
                </c:pt>
                <c:pt idx="7">
                  <c:v>7400</c:v>
                </c:pt>
                <c:pt idx="8">
                  <c:v>6000</c:v>
                </c:pt>
                <c:pt idx="9">
                  <c:v>5600</c:v>
                </c:pt>
                <c:pt idx="10">
                  <c:v>7500</c:v>
                </c:pt>
                <c:pt idx="11">
                  <c:v>7800</c:v>
                </c:pt>
                <c:pt idx="12">
                  <c:v>6300</c:v>
                </c:pt>
                <c:pt idx="13">
                  <c:v>5200</c:v>
                </c:pt>
                <c:pt idx="14">
                  <c:v>6600</c:v>
                </c:pt>
                <c:pt idx="15">
                  <c:v>6850</c:v>
                </c:pt>
                <c:pt idx="16">
                  <c:v>6500</c:v>
                </c:pt>
                <c:pt idx="17">
                  <c:v>5050</c:v>
                </c:pt>
                <c:pt idx="18">
                  <c:v>5800</c:v>
                </c:pt>
                <c:pt idx="19">
                  <c:v>6300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2C-4D8A-8F81-94DA07625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988432"/>
        <c:axId val="163990352"/>
      </c:lineChart>
      <c:dateAx>
        <c:axId val="163988432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90352"/>
        <c:crosses val="autoZero"/>
        <c:auto val="1"/>
        <c:lblOffset val="100"/>
        <c:baseTimeUnit val="months"/>
      </c:dateAx>
      <c:valAx>
        <c:axId val="163990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988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'+ve correlation'!$B$1</c:f>
              <c:strCache>
                <c:ptCount val="1"/>
                <c:pt idx="0">
                  <c:v>Exam scores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'+ve correlation'!$A$2:$A$8</c:f>
              <c:numCache>
                <c:formatCode>General</c:formatCode>
                <c:ptCount val="7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1.5</c:v>
                </c:pt>
                <c:pt idx="4">
                  <c:v>2.5</c:v>
                </c:pt>
                <c:pt idx="5">
                  <c:v>3</c:v>
                </c:pt>
                <c:pt idx="6">
                  <c:v>3.5</c:v>
                </c:pt>
              </c:numCache>
            </c:numRef>
          </c:xVal>
          <c:yVal>
            <c:numRef>
              <c:f>'+ve correlation'!$B$2:$B$8</c:f>
              <c:numCache>
                <c:formatCode>General</c:formatCode>
                <c:ptCount val="7"/>
                <c:pt idx="0">
                  <c:v>80</c:v>
                </c:pt>
                <c:pt idx="1">
                  <c:v>96</c:v>
                </c:pt>
                <c:pt idx="2">
                  <c:v>65</c:v>
                </c:pt>
                <c:pt idx="3">
                  <c:v>49</c:v>
                </c:pt>
                <c:pt idx="4">
                  <c:v>72</c:v>
                </c:pt>
                <c:pt idx="5">
                  <c:v>84</c:v>
                </c:pt>
                <c:pt idx="6">
                  <c:v>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AA-4205-8718-A62102F33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44891104"/>
        <c:axId val="2144891584"/>
      </c:scatterChart>
      <c:valAx>
        <c:axId val="2144891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891584"/>
        <c:crosses val="autoZero"/>
        <c:crossBetween val="midCat"/>
      </c:valAx>
      <c:valAx>
        <c:axId val="21448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8911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'-ve correlation'!$B$1</c:f>
              <c:strCache>
                <c:ptCount val="1"/>
                <c:pt idx="0">
                  <c:v>profit per unit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'-ve correlation'!$A$2:$A$6</c:f>
              <c:numCache>
                <c:formatCode>General</c:formatCode>
                <c:ptCount val="5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40</c:v>
                </c:pt>
                <c:pt idx="4">
                  <c:v>0</c:v>
                </c:pt>
              </c:numCache>
            </c:numRef>
          </c:xVal>
          <c:yVal>
            <c:numRef>
              <c:f>'-ve correlation'!$B$2:$B$6</c:f>
              <c:numCache>
                <c:formatCode>General</c:formatCode>
                <c:ptCount val="5"/>
                <c:pt idx="0">
                  <c:v>85</c:v>
                </c:pt>
                <c:pt idx="1">
                  <c:v>70</c:v>
                </c:pt>
                <c:pt idx="2">
                  <c:v>55</c:v>
                </c:pt>
                <c:pt idx="3">
                  <c:v>40</c:v>
                </c:pt>
                <c:pt idx="4">
                  <c:v>100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E4A-44F6-8E65-BC46D503CF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24849376"/>
        <c:axId val="1524853216"/>
      </c:scatterChart>
      <c:valAx>
        <c:axId val="15248493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53216"/>
        <c:crosses val="autoZero"/>
        <c:crossBetween val="midCat"/>
      </c:valAx>
      <c:valAx>
        <c:axId val="152485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493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</a:t>
          </a:r>
        </a:p>
      </cx:txPr>
    </cx:title>
    <cx:plotArea>
      <cx:plotAreaRegion>
        <cx:series layoutId="clusteredColumn" uniqueId="{67F38EDF-6856-42D4-A8DE-197EA7E4FDEE}" formatIdx="0">
          <cx:tx>
            <cx:txData>
              <cx:f>_xlchart.v1.2</cx:f>
              <cx:v>sale</cx:v>
            </cx:txData>
          </cx:tx>
          <cx:dataLabels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563880</xdr:colOff>
      <xdr:row>4</xdr:row>
      <xdr:rowOff>80010</xdr:rowOff>
    </xdr:from>
    <xdr:to>
      <xdr:col>15</xdr:col>
      <xdr:colOff>556260</xdr:colOff>
      <xdr:row>29</xdr:row>
      <xdr:rowOff>142875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814828C-0141-B0B8-A291-CBF699919B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2193" y="810260"/>
              <a:ext cx="4881880" cy="462692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358140</xdr:colOff>
      <xdr:row>6</xdr:row>
      <xdr:rowOff>41910</xdr:rowOff>
    </xdr:from>
    <xdr:to>
      <xdr:col>12</xdr:col>
      <xdr:colOff>53340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7DD92F-30E3-8A49-A3FC-BCAA946EB4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41910</xdr:rowOff>
    </xdr:from>
    <xdr:to>
      <xdr:col>15</xdr:col>
      <xdr:colOff>228600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9445A5-B3E1-2EE4-C06A-E25AC1EA9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137160</xdr:colOff>
      <xdr:row>6</xdr:row>
      <xdr:rowOff>41910</xdr:rowOff>
    </xdr:from>
    <xdr:to>
      <xdr:col>14</xdr:col>
      <xdr:colOff>441960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1D5A34-3EE2-4EFE-2004-3B5347747F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91440</xdr:colOff>
      <xdr:row>6</xdr:row>
      <xdr:rowOff>41910</xdr:rowOff>
    </xdr:from>
    <xdr:to>
      <xdr:col>14</xdr:col>
      <xdr:colOff>396240</xdr:colOff>
      <xdr:row>21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9344E-314B-37AD-7A81-54E61938D9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BE962-7D42-4FA7-BCD5-B0C311366EC9}">
  <dimension ref="A1:L18"/>
  <sheetViews>
    <sheetView workbookViewId="0">
      <selection activeCell="G4" sqref="G4"/>
    </sheetView>
  </sheetViews>
  <sheetFormatPr defaultRowHeight="14.4" x14ac:dyDescent="0.3"/>
  <cols>
    <col min="1" max="1" width="17.33203125" bestFit="1" customWidth="1"/>
    <col min="2" max="2" width="16" bestFit="1" customWidth="1"/>
    <col min="3" max="3" width="15.88671875" bestFit="1" customWidth="1"/>
    <col min="7" max="7" width="58.77734375" bestFit="1" customWidth="1"/>
  </cols>
  <sheetData>
    <row r="1" spans="1:12" ht="15.6" x14ac:dyDescent="0.3">
      <c r="A1" s="1"/>
      <c r="B1" s="2" t="s">
        <v>0</v>
      </c>
      <c r="C1" s="2" t="s">
        <v>1</v>
      </c>
      <c r="F1" s="4" t="s">
        <v>7</v>
      </c>
      <c r="G1" s="5"/>
      <c r="H1" s="5"/>
      <c r="I1" s="5"/>
      <c r="J1" s="5"/>
      <c r="K1" s="5"/>
      <c r="L1" s="5"/>
    </row>
    <row r="2" spans="1:12" ht="15.6" x14ac:dyDescent="0.3">
      <c r="A2" s="1" t="s">
        <v>2</v>
      </c>
      <c r="B2" s="3">
        <v>13</v>
      </c>
      <c r="C2" s="3">
        <v>25</v>
      </c>
      <c r="F2" s="5"/>
      <c r="G2" s="5"/>
      <c r="H2" s="5"/>
      <c r="I2" s="5"/>
      <c r="J2" s="5"/>
      <c r="K2" s="5"/>
      <c r="L2" s="5"/>
    </row>
    <row r="3" spans="1:12" ht="15.6" x14ac:dyDescent="0.3">
      <c r="A3" s="1" t="s">
        <v>3</v>
      </c>
      <c r="B3" s="3">
        <v>16</v>
      </c>
      <c r="C3" s="3">
        <v>4</v>
      </c>
    </row>
    <row r="4" spans="1:12" ht="15.6" x14ac:dyDescent="0.3">
      <c r="A4" s="1" t="s">
        <v>4</v>
      </c>
      <c r="B4" s="3">
        <v>13</v>
      </c>
      <c r="C4" s="3">
        <v>27</v>
      </c>
      <c r="G4" s="11" t="s">
        <v>16</v>
      </c>
    </row>
    <row r="5" spans="1:12" ht="15.6" x14ac:dyDescent="0.3">
      <c r="A5" s="1" t="s">
        <v>5</v>
      </c>
      <c r="B5" s="3">
        <v>18</v>
      </c>
      <c r="C5" s="3">
        <v>4</v>
      </c>
    </row>
    <row r="6" spans="1:12" ht="15.6" x14ac:dyDescent="0.3">
      <c r="A6" s="1" t="s">
        <v>6</v>
      </c>
      <c r="B6" s="3">
        <v>15</v>
      </c>
      <c r="C6" s="3">
        <v>15</v>
      </c>
    </row>
    <row r="10" spans="1:12" x14ac:dyDescent="0.3">
      <c r="A10" s="6" t="s">
        <v>8</v>
      </c>
      <c r="B10" s="10">
        <f>AVERAGE(B2:B6)</f>
        <v>15</v>
      </c>
      <c r="C10" s="10">
        <f>AVERAGE(C2:C6)</f>
        <v>15</v>
      </c>
    </row>
    <row r="11" spans="1:12" x14ac:dyDescent="0.3">
      <c r="A11" s="6" t="s">
        <v>9</v>
      </c>
      <c r="B11" s="10">
        <f>MEDIAN(B2:B6)</f>
        <v>15</v>
      </c>
      <c r="C11" s="10">
        <f>MEDIAN(C2:C6)</f>
        <v>15</v>
      </c>
    </row>
    <row r="12" spans="1:12" x14ac:dyDescent="0.3">
      <c r="A12" s="7"/>
    </row>
    <row r="13" spans="1:12" x14ac:dyDescent="0.3">
      <c r="A13" s="6" t="s">
        <v>10</v>
      </c>
      <c r="B13" s="10">
        <f>MAX(B2:B6)-MIN(B2:B6)</f>
        <v>5</v>
      </c>
      <c r="C13" s="10">
        <f>MAX(C2:C6)-MIN(C2:C6)</f>
        <v>23</v>
      </c>
    </row>
    <row r="14" spans="1:12" x14ac:dyDescent="0.3">
      <c r="A14" s="8" t="s">
        <v>11</v>
      </c>
      <c r="B14">
        <f>QUARTILE(B2:B6,1)</f>
        <v>13</v>
      </c>
      <c r="C14">
        <f>QUARTILE(C2:C6,1)</f>
        <v>4</v>
      </c>
    </row>
    <row r="15" spans="1:12" x14ac:dyDescent="0.3">
      <c r="A15" s="8" t="s">
        <v>12</v>
      </c>
      <c r="B15">
        <f>QUARTILE(B2:B6,3)</f>
        <v>16</v>
      </c>
      <c r="C15">
        <f>QUARTILE(C2:C6,3)</f>
        <v>25</v>
      </c>
    </row>
    <row r="16" spans="1:12" x14ac:dyDescent="0.3">
      <c r="A16" s="9" t="s">
        <v>13</v>
      </c>
      <c r="B16">
        <f>B15-B14</f>
        <v>3</v>
      </c>
      <c r="C16">
        <f>C15-C14</f>
        <v>21</v>
      </c>
    </row>
    <row r="17" spans="1:3" x14ac:dyDescent="0.3">
      <c r="A17" s="9" t="s">
        <v>14</v>
      </c>
      <c r="B17">
        <f>VAR(B2:B6)</f>
        <v>4.5</v>
      </c>
      <c r="C17">
        <f>VAR(C2:C6)</f>
        <v>121.5</v>
      </c>
    </row>
    <row r="18" spans="1:3" x14ac:dyDescent="0.3">
      <c r="A18" s="9" t="s">
        <v>15</v>
      </c>
      <c r="B18">
        <f>STDEV(B2:B6)</f>
        <v>2.1213203435596424</v>
      </c>
      <c r="C18">
        <f>STDEV(C2:C6)</f>
        <v>11.022703842524301</v>
      </c>
    </row>
  </sheetData>
  <mergeCells count="1">
    <mergeCell ref="F1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80079-5171-4566-810A-78ADAE799DCB}">
  <dimension ref="A1:A201"/>
  <sheetViews>
    <sheetView tabSelected="1" topLeftCell="C3" zoomScale="96" zoomScaleNormal="96" workbookViewId="0">
      <selection activeCell="V17" sqref="V17"/>
    </sheetView>
  </sheetViews>
  <sheetFormatPr defaultRowHeight="14.4" x14ac:dyDescent="0.3"/>
  <sheetData>
    <row r="1" spans="1:1" x14ac:dyDescent="0.3">
      <c r="A1" s="12" t="s">
        <v>17</v>
      </c>
    </row>
    <row r="2" spans="1:1" x14ac:dyDescent="0.3">
      <c r="A2">
        <v>22.1</v>
      </c>
    </row>
    <row r="3" spans="1:1" x14ac:dyDescent="0.3">
      <c r="A3">
        <v>10.4</v>
      </c>
    </row>
    <row r="4" spans="1:1" x14ac:dyDescent="0.3">
      <c r="A4">
        <v>9.3000000000000007</v>
      </c>
    </row>
    <row r="5" spans="1:1" x14ac:dyDescent="0.3">
      <c r="A5">
        <v>18.5</v>
      </c>
    </row>
    <row r="6" spans="1:1" x14ac:dyDescent="0.3">
      <c r="A6">
        <v>12.9</v>
      </c>
    </row>
    <row r="7" spans="1:1" x14ac:dyDescent="0.3">
      <c r="A7">
        <v>7.2</v>
      </c>
    </row>
    <row r="8" spans="1:1" x14ac:dyDescent="0.3">
      <c r="A8">
        <v>11.8</v>
      </c>
    </row>
    <row r="9" spans="1:1" x14ac:dyDescent="0.3">
      <c r="A9">
        <v>13.2</v>
      </c>
    </row>
    <row r="10" spans="1:1" x14ac:dyDescent="0.3">
      <c r="A10">
        <v>4.8</v>
      </c>
    </row>
    <row r="11" spans="1:1" x14ac:dyDescent="0.3">
      <c r="A11">
        <v>10.6</v>
      </c>
    </row>
    <row r="12" spans="1:1" x14ac:dyDescent="0.3">
      <c r="A12">
        <v>8.6</v>
      </c>
    </row>
    <row r="13" spans="1:1" x14ac:dyDescent="0.3">
      <c r="A13">
        <v>17.399999999999999</v>
      </c>
    </row>
    <row r="14" spans="1:1" x14ac:dyDescent="0.3">
      <c r="A14">
        <v>9.1999999999999993</v>
      </c>
    </row>
    <row r="15" spans="1:1" x14ac:dyDescent="0.3">
      <c r="A15">
        <v>9.6999999999999993</v>
      </c>
    </row>
    <row r="16" spans="1:1" x14ac:dyDescent="0.3">
      <c r="A16">
        <v>19</v>
      </c>
    </row>
    <row r="17" spans="1:1" x14ac:dyDescent="0.3">
      <c r="A17">
        <v>22.4</v>
      </c>
    </row>
    <row r="18" spans="1:1" x14ac:dyDescent="0.3">
      <c r="A18">
        <v>12.5</v>
      </c>
    </row>
    <row r="19" spans="1:1" x14ac:dyDescent="0.3">
      <c r="A19">
        <v>24.4</v>
      </c>
    </row>
    <row r="20" spans="1:1" x14ac:dyDescent="0.3">
      <c r="A20">
        <v>11.3</v>
      </c>
    </row>
    <row r="21" spans="1:1" x14ac:dyDescent="0.3">
      <c r="A21">
        <v>14.6</v>
      </c>
    </row>
    <row r="22" spans="1:1" x14ac:dyDescent="0.3">
      <c r="A22">
        <v>18</v>
      </c>
    </row>
    <row r="23" spans="1:1" x14ac:dyDescent="0.3">
      <c r="A23">
        <v>12.5</v>
      </c>
    </row>
    <row r="24" spans="1:1" x14ac:dyDescent="0.3">
      <c r="A24">
        <v>5.6</v>
      </c>
    </row>
    <row r="25" spans="1:1" x14ac:dyDescent="0.3">
      <c r="A25">
        <v>15.5</v>
      </c>
    </row>
    <row r="26" spans="1:1" x14ac:dyDescent="0.3">
      <c r="A26">
        <v>9.6999999999999993</v>
      </c>
    </row>
    <row r="27" spans="1:1" x14ac:dyDescent="0.3">
      <c r="A27">
        <v>12</v>
      </c>
    </row>
    <row r="28" spans="1:1" x14ac:dyDescent="0.3">
      <c r="A28">
        <v>15</v>
      </c>
    </row>
    <row r="29" spans="1:1" x14ac:dyDescent="0.3">
      <c r="A29">
        <v>15.9</v>
      </c>
    </row>
    <row r="30" spans="1:1" x14ac:dyDescent="0.3">
      <c r="A30">
        <v>18.899999999999999</v>
      </c>
    </row>
    <row r="31" spans="1:1" x14ac:dyDescent="0.3">
      <c r="A31">
        <v>10.5</v>
      </c>
    </row>
    <row r="32" spans="1:1" x14ac:dyDescent="0.3">
      <c r="A32">
        <v>21.4</v>
      </c>
    </row>
    <row r="33" spans="1:1" x14ac:dyDescent="0.3">
      <c r="A33">
        <v>11.9</v>
      </c>
    </row>
    <row r="34" spans="1:1" x14ac:dyDescent="0.3">
      <c r="A34">
        <v>9.6</v>
      </c>
    </row>
    <row r="35" spans="1:1" x14ac:dyDescent="0.3">
      <c r="A35">
        <v>17.399999999999999</v>
      </c>
    </row>
    <row r="36" spans="1:1" x14ac:dyDescent="0.3">
      <c r="A36">
        <v>9.5</v>
      </c>
    </row>
    <row r="37" spans="1:1" x14ac:dyDescent="0.3">
      <c r="A37">
        <v>12.8</v>
      </c>
    </row>
    <row r="38" spans="1:1" x14ac:dyDescent="0.3">
      <c r="A38">
        <v>25.4</v>
      </c>
    </row>
    <row r="39" spans="1:1" x14ac:dyDescent="0.3">
      <c r="A39">
        <v>14.7</v>
      </c>
    </row>
    <row r="40" spans="1:1" x14ac:dyDescent="0.3">
      <c r="A40">
        <v>10.1</v>
      </c>
    </row>
    <row r="41" spans="1:1" x14ac:dyDescent="0.3">
      <c r="A41">
        <v>21.5</v>
      </c>
    </row>
    <row r="42" spans="1:1" x14ac:dyDescent="0.3">
      <c r="A42">
        <v>16.600000000000001</v>
      </c>
    </row>
    <row r="43" spans="1:1" x14ac:dyDescent="0.3">
      <c r="A43">
        <v>17.100000000000001</v>
      </c>
    </row>
    <row r="44" spans="1:1" x14ac:dyDescent="0.3">
      <c r="A44">
        <v>20.7</v>
      </c>
    </row>
    <row r="45" spans="1:1" x14ac:dyDescent="0.3">
      <c r="A45">
        <v>12.9</v>
      </c>
    </row>
    <row r="46" spans="1:1" x14ac:dyDescent="0.3">
      <c r="A46">
        <v>8.5</v>
      </c>
    </row>
    <row r="47" spans="1:1" x14ac:dyDescent="0.3">
      <c r="A47">
        <v>14.9</v>
      </c>
    </row>
    <row r="48" spans="1:1" x14ac:dyDescent="0.3">
      <c r="A48">
        <v>10.6</v>
      </c>
    </row>
    <row r="49" spans="1:1" x14ac:dyDescent="0.3">
      <c r="A49">
        <v>23.2</v>
      </c>
    </row>
    <row r="50" spans="1:1" x14ac:dyDescent="0.3">
      <c r="A50">
        <v>14.8</v>
      </c>
    </row>
    <row r="51" spans="1:1" x14ac:dyDescent="0.3">
      <c r="A51">
        <v>9.6999999999999993</v>
      </c>
    </row>
    <row r="52" spans="1:1" x14ac:dyDescent="0.3">
      <c r="A52">
        <v>11.4</v>
      </c>
    </row>
    <row r="53" spans="1:1" x14ac:dyDescent="0.3">
      <c r="A53">
        <v>10.7</v>
      </c>
    </row>
    <row r="54" spans="1:1" x14ac:dyDescent="0.3">
      <c r="A54">
        <v>22.6</v>
      </c>
    </row>
    <row r="55" spans="1:1" x14ac:dyDescent="0.3">
      <c r="A55">
        <v>21.2</v>
      </c>
    </row>
    <row r="56" spans="1:1" x14ac:dyDescent="0.3">
      <c r="A56">
        <v>20.2</v>
      </c>
    </row>
    <row r="57" spans="1:1" x14ac:dyDescent="0.3">
      <c r="A57">
        <v>23.7</v>
      </c>
    </row>
    <row r="58" spans="1:1" x14ac:dyDescent="0.3">
      <c r="A58">
        <v>5.5</v>
      </c>
    </row>
    <row r="59" spans="1:1" x14ac:dyDescent="0.3">
      <c r="A59">
        <v>13.2</v>
      </c>
    </row>
    <row r="60" spans="1:1" x14ac:dyDescent="0.3">
      <c r="A60">
        <v>23.8</v>
      </c>
    </row>
    <row r="61" spans="1:1" x14ac:dyDescent="0.3">
      <c r="A61">
        <v>18.399999999999999</v>
      </c>
    </row>
    <row r="62" spans="1:1" x14ac:dyDescent="0.3">
      <c r="A62">
        <v>8.1</v>
      </c>
    </row>
    <row r="63" spans="1:1" x14ac:dyDescent="0.3">
      <c r="A63">
        <v>24.2</v>
      </c>
    </row>
    <row r="64" spans="1:1" x14ac:dyDescent="0.3">
      <c r="A64">
        <v>15.7</v>
      </c>
    </row>
    <row r="65" spans="1:1" x14ac:dyDescent="0.3">
      <c r="A65">
        <v>14</v>
      </c>
    </row>
    <row r="66" spans="1:1" x14ac:dyDescent="0.3">
      <c r="A66">
        <v>18</v>
      </c>
    </row>
    <row r="67" spans="1:1" x14ac:dyDescent="0.3">
      <c r="A67">
        <v>9.3000000000000007</v>
      </c>
    </row>
    <row r="68" spans="1:1" x14ac:dyDescent="0.3">
      <c r="A68">
        <v>9.5</v>
      </c>
    </row>
    <row r="69" spans="1:1" x14ac:dyDescent="0.3">
      <c r="A69">
        <v>13.4</v>
      </c>
    </row>
    <row r="70" spans="1:1" x14ac:dyDescent="0.3">
      <c r="A70">
        <v>18.899999999999999</v>
      </c>
    </row>
    <row r="71" spans="1:1" x14ac:dyDescent="0.3">
      <c r="A71">
        <v>22.3</v>
      </c>
    </row>
    <row r="72" spans="1:1" x14ac:dyDescent="0.3">
      <c r="A72">
        <v>18.3</v>
      </c>
    </row>
    <row r="73" spans="1:1" x14ac:dyDescent="0.3">
      <c r="A73">
        <v>12.4</v>
      </c>
    </row>
    <row r="74" spans="1:1" x14ac:dyDescent="0.3">
      <c r="A74">
        <v>8.8000000000000007</v>
      </c>
    </row>
    <row r="75" spans="1:1" x14ac:dyDescent="0.3">
      <c r="A75">
        <v>11</v>
      </c>
    </row>
    <row r="76" spans="1:1" x14ac:dyDescent="0.3">
      <c r="A76">
        <v>17</v>
      </c>
    </row>
    <row r="77" spans="1:1" x14ac:dyDescent="0.3">
      <c r="A77">
        <v>8.6999999999999993</v>
      </c>
    </row>
    <row r="78" spans="1:1" x14ac:dyDescent="0.3">
      <c r="A78">
        <v>6.9</v>
      </c>
    </row>
    <row r="79" spans="1:1" x14ac:dyDescent="0.3">
      <c r="A79">
        <v>14.2</v>
      </c>
    </row>
    <row r="80" spans="1:1" x14ac:dyDescent="0.3">
      <c r="A80">
        <v>5.3</v>
      </c>
    </row>
    <row r="81" spans="1:1" x14ac:dyDescent="0.3">
      <c r="A81">
        <v>11</v>
      </c>
    </row>
    <row r="82" spans="1:1" x14ac:dyDescent="0.3">
      <c r="A82">
        <v>11.8</v>
      </c>
    </row>
    <row r="83" spans="1:1" x14ac:dyDescent="0.3">
      <c r="A83">
        <v>12.3</v>
      </c>
    </row>
    <row r="84" spans="1:1" x14ac:dyDescent="0.3">
      <c r="A84">
        <v>11.3</v>
      </c>
    </row>
    <row r="85" spans="1:1" x14ac:dyDescent="0.3">
      <c r="A85">
        <v>13.6</v>
      </c>
    </row>
    <row r="86" spans="1:1" x14ac:dyDescent="0.3">
      <c r="A86">
        <v>21.7</v>
      </c>
    </row>
    <row r="87" spans="1:1" x14ac:dyDescent="0.3">
      <c r="A87">
        <v>15.2</v>
      </c>
    </row>
    <row r="88" spans="1:1" x14ac:dyDescent="0.3">
      <c r="A88">
        <v>12</v>
      </c>
    </row>
    <row r="89" spans="1:1" x14ac:dyDescent="0.3">
      <c r="A89">
        <v>16</v>
      </c>
    </row>
    <row r="90" spans="1:1" x14ac:dyDescent="0.3">
      <c r="A90">
        <v>12.9</v>
      </c>
    </row>
    <row r="91" spans="1:1" x14ac:dyDescent="0.3">
      <c r="A91">
        <v>16.7</v>
      </c>
    </row>
    <row r="92" spans="1:1" x14ac:dyDescent="0.3">
      <c r="A92">
        <v>11.2</v>
      </c>
    </row>
    <row r="93" spans="1:1" x14ac:dyDescent="0.3">
      <c r="A93">
        <v>7.3</v>
      </c>
    </row>
    <row r="94" spans="1:1" x14ac:dyDescent="0.3">
      <c r="A94">
        <v>19.399999999999999</v>
      </c>
    </row>
    <row r="95" spans="1:1" x14ac:dyDescent="0.3">
      <c r="A95">
        <v>22.2</v>
      </c>
    </row>
    <row r="96" spans="1:1" x14ac:dyDescent="0.3">
      <c r="A96">
        <v>11.5</v>
      </c>
    </row>
    <row r="97" spans="1:1" x14ac:dyDescent="0.3">
      <c r="A97">
        <v>16.899999999999999</v>
      </c>
    </row>
    <row r="98" spans="1:1" x14ac:dyDescent="0.3">
      <c r="A98">
        <v>11.7</v>
      </c>
    </row>
    <row r="99" spans="1:1" x14ac:dyDescent="0.3">
      <c r="A99">
        <v>15.5</v>
      </c>
    </row>
    <row r="100" spans="1:1" x14ac:dyDescent="0.3">
      <c r="A100">
        <v>25.4</v>
      </c>
    </row>
    <row r="101" spans="1:1" x14ac:dyDescent="0.3">
      <c r="A101">
        <v>17.2</v>
      </c>
    </row>
    <row r="102" spans="1:1" x14ac:dyDescent="0.3">
      <c r="A102">
        <v>11.7</v>
      </c>
    </row>
    <row r="103" spans="1:1" x14ac:dyDescent="0.3">
      <c r="A103">
        <v>23.8</v>
      </c>
    </row>
    <row r="104" spans="1:1" x14ac:dyDescent="0.3">
      <c r="A104">
        <v>14.8</v>
      </c>
    </row>
    <row r="105" spans="1:1" x14ac:dyDescent="0.3">
      <c r="A105">
        <v>14.7</v>
      </c>
    </row>
    <row r="106" spans="1:1" x14ac:dyDescent="0.3">
      <c r="A106">
        <v>20.7</v>
      </c>
    </row>
    <row r="107" spans="1:1" x14ac:dyDescent="0.3">
      <c r="A107">
        <v>19.2</v>
      </c>
    </row>
    <row r="108" spans="1:1" x14ac:dyDescent="0.3">
      <c r="A108">
        <v>7.2</v>
      </c>
    </row>
    <row r="109" spans="1:1" x14ac:dyDescent="0.3">
      <c r="A109">
        <v>8.6999999999999993</v>
      </c>
    </row>
    <row r="110" spans="1:1" x14ac:dyDescent="0.3">
      <c r="A110">
        <v>5.3</v>
      </c>
    </row>
    <row r="111" spans="1:1" x14ac:dyDescent="0.3">
      <c r="A111">
        <v>19.8</v>
      </c>
    </row>
    <row r="112" spans="1:1" x14ac:dyDescent="0.3">
      <c r="A112">
        <v>13.4</v>
      </c>
    </row>
    <row r="113" spans="1:1" x14ac:dyDescent="0.3">
      <c r="A113">
        <v>21.8</v>
      </c>
    </row>
    <row r="114" spans="1:1" x14ac:dyDescent="0.3">
      <c r="A114">
        <v>14.1</v>
      </c>
    </row>
    <row r="115" spans="1:1" x14ac:dyDescent="0.3">
      <c r="A115">
        <v>15.9</v>
      </c>
    </row>
    <row r="116" spans="1:1" x14ac:dyDescent="0.3">
      <c r="A116">
        <v>14.6</v>
      </c>
    </row>
    <row r="117" spans="1:1" x14ac:dyDescent="0.3">
      <c r="A117">
        <v>12.6</v>
      </c>
    </row>
    <row r="118" spans="1:1" x14ac:dyDescent="0.3">
      <c r="A118">
        <v>12.2</v>
      </c>
    </row>
    <row r="119" spans="1:1" x14ac:dyDescent="0.3">
      <c r="A119">
        <v>9.4</v>
      </c>
    </row>
    <row r="120" spans="1:1" x14ac:dyDescent="0.3">
      <c r="A120">
        <v>15.9</v>
      </c>
    </row>
    <row r="121" spans="1:1" x14ac:dyDescent="0.3">
      <c r="A121">
        <v>6.6</v>
      </c>
    </row>
    <row r="122" spans="1:1" x14ac:dyDescent="0.3">
      <c r="A122">
        <v>15.5</v>
      </c>
    </row>
    <row r="123" spans="1:1" x14ac:dyDescent="0.3">
      <c r="A123">
        <v>7</v>
      </c>
    </row>
    <row r="124" spans="1:1" x14ac:dyDescent="0.3">
      <c r="A124">
        <v>11.6</v>
      </c>
    </row>
    <row r="125" spans="1:1" x14ac:dyDescent="0.3">
      <c r="A125">
        <v>15.2</v>
      </c>
    </row>
    <row r="126" spans="1:1" x14ac:dyDescent="0.3">
      <c r="A126">
        <v>19.7</v>
      </c>
    </row>
    <row r="127" spans="1:1" x14ac:dyDescent="0.3">
      <c r="A127">
        <v>10.6</v>
      </c>
    </row>
    <row r="128" spans="1:1" x14ac:dyDescent="0.3">
      <c r="A128">
        <v>6.6</v>
      </c>
    </row>
    <row r="129" spans="1:1" x14ac:dyDescent="0.3">
      <c r="A129">
        <v>8.8000000000000007</v>
      </c>
    </row>
    <row r="130" spans="1:1" x14ac:dyDescent="0.3">
      <c r="A130">
        <v>24.7</v>
      </c>
    </row>
    <row r="131" spans="1:1" x14ac:dyDescent="0.3">
      <c r="A131">
        <v>9.6999999999999993</v>
      </c>
    </row>
    <row r="132" spans="1:1" x14ac:dyDescent="0.3">
      <c r="A132">
        <v>1.6</v>
      </c>
    </row>
    <row r="133" spans="1:1" x14ac:dyDescent="0.3">
      <c r="A133">
        <v>12.7</v>
      </c>
    </row>
    <row r="134" spans="1:1" x14ac:dyDescent="0.3">
      <c r="A134">
        <v>5.7</v>
      </c>
    </row>
    <row r="135" spans="1:1" x14ac:dyDescent="0.3">
      <c r="A135">
        <v>19.600000000000001</v>
      </c>
    </row>
    <row r="136" spans="1:1" x14ac:dyDescent="0.3">
      <c r="A136">
        <v>10.8</v>
      </c>
    </row>
    <row r="137" spans="1:1" x14ac:dyDescent="0.3">
      <c r="A137">
        <v>11.6</v>
      </c>
    </row>
    <row r="138" spans="1:1" x14ac:dyDescent="0.3">
      <c r="A138">
        <v>9.5</v>
      </c>
    </row>
    <row r="139" spans="1:1" x14ac:dyDescent="0.3">
      <c r="A139">
        <v>20.8</v>
      </c>
    </row>
    <row r="140" spans="1:1" x14ac:dyDescent="0.3">
      <c r="A140">
        <v>9.6</v>
      </c>
    </row>
    <row r="141" spans="1:1" x14ac:dyDescent="0.3">
      <c r="A141">
        <v>20.7</v>
      </c>
    </row>
    <row r="142" spans="1:1" x14ac:dyDescent="0.3">
      <c r="A142">
        <v>10.9</v>
      </c>
    </row>
    <row r="143" spans="1:1" x14ac:dyDescent="0.3">
      <c r="A143">
        <v>19.2</v>
      </c>
    </row>
    <row r="144" spans="1:1" x14ac:dyDescent="0.3">
      <c r="A144">
        <v>20.100000000000001</v>
      </c>
    </row>
    <row r="145" spans="1:1" x14ac:dyDescent="0.3">
      <c r="A145">
        <v>10.4</v>
      </c>
    </row>
    <row r="146" spans="1:1" x14ac:dyDescent="0.3">
      <c r="A146">
        <v>11.4</v>
      </c>
    </row>
    <row r="147" spans="1:1" x14ac:dyDescent="0.3">
      <c r="A147">
        <v>10.3</v>
      </c>
    </row>
    <row r="148" spans="1:1" x14ac:dyDescent="0.3">
      <c r="A148">
        <v>13.2</v>
      </c>
    </row>
    <row r="149" spans="1:1" x14ac:dyDescent="0.3">
      <c r="A149">
        <v>25.4</v>
      </c>
    </row>
    <row r="150" spans="1:1" x14ac:dyDescent="0.3">
      <c r="A150">
        <v>10.9</v>
      </c>
    </row>
    <row r="151" spans="1:1" x14ac:dyDescent="0.3">
      <c r="A151">
        <v>10.1</v>
      </c>
    </row>
    <row r="152" spans="1:1" x14ac:dyDescent="0.3">
      <c r="A152">
        <v>16.100000000000001</v>
      </c>
    </row>
    <row r="153" spans="1:1" x14ac:dyDescent="0.3">
      <c r="A153">
        <v>11.6</v>
      </c>
    </row>
    <row r="154" spans="1:1" x14ac:dyDescent="0.3">
      <c r="A154">
        <v>16.600000000000001</v>
      </c>
    </row>
    <row r="155" spans="1:1" x14ac:dyDescent="0.3">
      <c r="A155">
        <v>19</v>
      </c>
    </row>
    <row r="156" spans="1:1" x14ac:dyDescent="0.3">
      <c r="A156">
        <v>15.6</v>
      </c>
    </row>
    <row r="157" spans="1:1" x14ac:dyDescent="0.3">
      <c r="A157">
        <v>3.2</v>
      </c>
    </row>
    <row r="158" spans="1:1" x14ac:dyDescent="0.3">
      <c r="A158">
        <v>15.3</v>
      </c>
    </row>
    <row r="159" spans="1:1" x14ac:dyDescent="0.3">
      <c r="A159">
        <v>10.1</v>
      </c>
    </row>
    <row r="160" spans="1:1" x14ac:dyDescent="0.3">
      <c r="A160">
        <v>7.3</v>
      </c>
    </row>
    <row r="161" spans="1:1" x14ac:dyDescent="0.3">
      <c r="A161">
        <v>12.9</v>
      </c>
    </row>
    <row r="162" spans="1:1" x14ac:dyDescent="0.3">
      <c r="A162">
        <v>14.4</v>
      </c>
    </row>
    <row r="163" spans="1:1" x14ac:dyDescent="0.3">
      <c r="A163">
        <v>13.3</v>
      </c>
    </row>
    <row r="164" spans="1:1" x14ac:dyDescent="0.3">
      <c r="A164">
        <v>14.9</v>
      </c>
    </row>
    <row r="165" spans="1:1" x14ac:dyDescent="0.3">
      <c r="A165">
        <v>18</v>
      </c>
    </row>
    <row r="166" spans="1:1" x14ac:dyDescent="0.3">
      <c r="A166">
        <v>11.9</v>
      </c>
    </row>
    <row r="167" spans="1:1" x14ac:dyDescent="0.3">
      <c r="A167">
        <v>11.9</v>
      </c>
    </row>
    <row r="168" spans="1:1" x14ac:dyDescent="0.3">
      <c r="A168">
        <v>8</v>
      </c>
    </row>
    <row r="169" spans="1:1" x14ac:dyDescent="0.3">
      <c r="A169">
        <v>12.2</v>
      </c>
    </row>
    <row r="170" spans="1:1" x14ac:dyDescent="0.3">
      <c r="A170">
        <v>17.100000000000001</v>
      </c>
    </row>
    <row r="171" spans="1:1" x14ac:dyDescent="0.3">
      <c r="A171">
        <v>15</v>
      </c>
    </row>
    <row r="172" spans="1:1" x14ac:dyDescent="0.3">
      <c r="A172">
        <v>8.4</v>
      </c>
    </row>
    <row r="173" spans="1:1" x14ac:dyDescent="0.3">
      <c r="A173">
        <v>14.5</v>
      </c>
    </row>
    <row r="174" spans="1:1" x14ac:dyDescent="0.3">
      <c r="A174">
        <v>7.6</v>
      </c>
    </row>
    <row r="175" spans="1:1" x14ac:dyDescent="0.3">
      <c r="A175">
        <v>11.7</v>
      </c>
    </row>
    <row r="176" spans="1:1" x14ac:dyDescent="0.3">
      <c r="A176">
        <v>11.5</v>
      </c>
    </row>
    <row r="177" spans="1:1" x14ac:dyDescent="0.3">
      <c r="A177">
        <v>27</v>
      </c>
    </row>
    <row r="178" spans="1:1" x14ac:dyDescent="0.3">
      <c r="A178">
        <v>20.2</v>
      </c>
    </row>
    <row r="179" spans="1:1" x14ac:dyDescent="0.3">
      <c r="A179">
        <v>11.7</v>
      </c>
    </row>
    <row r="180" spans="1:1" x14ac:dyDescent="0.3">
      <c r="A180">
        <v>11.8</v>
      </c>
    </row>
    <row r="181" spans="1:1" x14ac:dyDescent="0.3">
      <c r="A181">
        <v>12.6</v>
      </c>
    </row>
    <row r="182" spans="1:1" x14ac:dyDescent="0.3">
      <c r="A182">
        <v>10.5</v>
      </c>
    </row>
    <row r="183" spans="1:1" x14ac:dyDescent="0.3">
      <c r="A183">
        <v>12.2</v>
      </c>
    </row>
    <row r="184" spans="1:1" x14ac:dyDescent="0.3">
      <c r="A184">
        <v>8.6999999999999993</v>
      </c>
    </row>
    <row r="185" spans="1:1" x14ac:dyDescent="0.3">
      <c r="A185">
        <v>26.2</v>
      </c>
    </row>
    <row r="186" spans="1:1" x14ac:dyDescent="0.3">
      <c r="A186">
        <v>17.600000000000001</v>
      </c>
    </row>
    <row r="187" spans="1:1" x14ac:dyDescent="0.3">
      <c r="A187">
        <v>22.6</v>
      </c>
    </row>
    <row r="188" spans="1:1" x14ac:dyDescent="0.3">
      <c r="A188">
        <v>10.3</v>
      </c>
    </row>
    <row r="189" spans="1:1" x14ac:dyDescent="0.3">
      <c r="A189">
        <v>17.3</v>
      </c>
    </row>
    <row r="190" spans="1:1" x14ac:dyDescent="0.3">
      <c r="A190">
        <v>15.9</v>
      </c>
    </row>
    <row r="191" spans="1:1" x14ac:dyDescent="0.3">
      <c r="A191">
        <v>6.7</v>
      </c>
    </row>
    <row r="192" spans="1:1" x14ac:dyDescent="0.3">
      <c r="A192">
        <v>10.8</v>
      </c>
    </row>
    <row r="193" spans="1:1" x14ac:dyDescent="0.3">
      <c r="A193">
        <v>9.9</v>
      </c>
    </row>
    <row r="194" spans="1:1" x14ac:dyDescent="0.3">
      <c r="A194">
        <v>5.9</v>
      </c>
    </row>
    <row r="195" spans="1:1" x14ac:dyDescent="0.3">
      <c r="A195">
        <v>19.600000000000001</v>
      </c>
    </row>
    <row r="196" spans="1:1" x14ac:dyDescent="0.3">
      <c r="A196">
        <v>17.3</v>
      </c>
    </row>
    <row r="197" spans="1:1" x14ac:dyDescent="0.3">
      <c r="A197">
        <v>7.6</v>
      </c>
    </row>
    <row r="198" spans="1:1" x14ac:dyDescent="0.3">
      <c r="A198">
        <v>9.6999999999999993</v>
      </c>
    </row>
    <row r="199" spans="1:1" x14ac:dyDescent="0.3">
      <c r="A199">
        <v>12.8</v>
      </c>
    </row>
    <row r="200" spans="1:1" x14ac:dyDescent="0.3">
      <c r="A200">
        <v>25.5</v>
      </c>
    </row>
    <row r="201" spans="1:1" x14ac:dyDescent="0.3">
      <c r="A201">
        <v>13.4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882F3-2709-4473-9B2E-03CC65FC2AD9}">
  <dimension ref="A1:B23"/>
  <sheetViews>
    <sheetView workbookViewId="0">
      <selection activeCell="C16" sqref="C16"/>
    </sheetView>
  </sheetViews>
  <sheetFormatPr defaultRowHeight="14.4" x14ac:dyDescent="0.3"/>
  <cols>
    <col min="1" max="1" width="19.109375" bestFit="1" customWidth="1"/>
    <col min="2" max="2" width="27.88671875" bestFit="1" customWidth="1"/>
  </cols>
  <sheetData>
    <row r="1" spans="1:2" x14ac:dyDescent="0.3">
      <c r="A1" t="s">
        <v>18</v>
      </c>
      <c r="B1" t="s">
        <v>19</v>
      </c>
    </row>
    <row r="2" spans="1:2" x14ac:dyDescent="0.3">
      <c r="A2">
        <v>22</v>
      </c>
      <c r="B2">
        <v>10</v>
      </c>
    </row>
    <row r="3" spans="1:2" x14ac:dyDescent="0.3">
      <c r="A3">
        <v>25</v>
      </c>
      <c r="B3">
        <v>12</v>
      </c>
    </row>
    <row r="4" spans="1:2" x14ac:dyDescent="0.3">
      <c r="A4">
        <v>30</v>
      </c>
      <c r="B4">
        <v>30</v>
      </c>
    </row>
    <row r="5" spans="1:2" x14ac:dyDescent="0.3">
      <c r="A5">
        <v>32</v>
      </c>
      <c r="B5">
        <v>25</v>
      </c>
    </row>
    <row r="6" spans="1:2" x14ac:dyDescent="0.3">
      <c r="A6">
        <v>35</v>
      </c>
      <c r="B6">
        <v>22</v>
      </c>
    </row>
    <row r="7" spans="1:2" x14ac:dyDescent="0.3">
      <c r="A7">
        <v>21</v>
      </c>
      <c r="B7">
        <v>13</v>
      </c>
    </row>
    <row r="8" spans="1:2" x14ac:dyDescent="0.3">
      <c r="A8">
        <v>24</v>
      </c>
      <c r="B8">
        <v>11</v>
      </c>
    </row>
    <row r="9" spans="1:2" x14ac:dyDescent="0.3">
      <c r="A9">
        <v>25</v>
      </c>
      <c r="B9">
        <v>11</v>
      </c>
    </row>
    <row r="23" spans="1:1" x14ac:dyDescent="0.3">
      <c r="A23" t="s">
        <v>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B277F-61DF-404D-A81C-84BB44A24F0C}">
  <dimension ref="A1:I26"/>
  <sheetViews>
    <sheetView workbookViewId="0">
      <selection activeCell="F25" sqref="F25"/>
    </sheetView>
  </sheetViews>
  <sheetFormatPr defaultRowHeight="14.4" x14ac:dyDescent="0.3"/>
  <cols>
    <col min="6" max="6" width="12.77734375" bestFit="1" customWidth="1"/>
  </cols>
  <sheetData>
    <row r="1" spans="1:2" x14ac:dyDescent="0.3">
      <c r="A1" s="12" t="s">
        <v>21</v>
      </c>
      <c r="B1" s="12" t="s">
        <v>22</v>
      </c>
    </row>
    <row r="2" spans="1:2" x14ac:dyDescent="0.3">
      <c r="A2">
        <v>1500</v>
      </c>
      <c r="B2">
        <v>250</v>
      </c>
    </row>
    <row r="3" spans="1:2" x14ac:dyDescent="0.3">
      <c r="A3">
        <v>1000</v>
      </c>
      <c r="B3">
        <v>150</v>
      </c>
    </row>
    <row r="9" spans="1:2" x14ac:dyDescent="0.3">
      <c r="A9" t="s">
        <v>23</v>
      </c>
    </row>
    <row r="10" spans="1:2" ht="15" thickBot="1" x14ac:dyDescent="0.35"/>
    <row r="11" spans="1:2" x14ac:dyDescent="0.3">
      <c r="A11" s="16" t="s">
        <v>24</v>
      </c>
      <c r="B11" s="16"/>
    </row>
    <row r="12" spans="1:2" x14ac:dyDescent="0.3">
      <c r="A12" s="13" t="s">
        <v>25</v>
      </c>
      <c r="B12" s="13">
        <v>1</v>
      </c>
    </row>
    <row r="13" spans="1:2" x14ac:dyDescent="0.3">
      <c r="A13" s="13" t="s">
        <v>26</v>
      </c>
      <c r="B13" s="13">
        <v>1</v>
      </c>
    </row>
    <row r="14" spans="1:2" x14ac:dyDescent="0.3">
      <c r="A14" s="13" t="s">
        <v>27</v>
      </c>
      <c r="B14" s="13">
        <v>65535</v>
      </c>
    </row>
    <row r="15" spans="1:2" x14ac:dyDescent="0.3">
      <c r="A15" s="13" t="s">
        <v>28</v>
      </c>
      <c r="B15" s="13">
        <v>0</v>
      </c>
    </row>
    <row r="16" spans="1:2" ht="15" thickBot="1" x14ac:dyDescent="0.35">
      <c r="A16" s="14" t="s">
        <v>29</v>
      </c>
      <c r="B16" s="14">
        <v>2</v>
      </c>
    </row>
    <row r="18" spans="1:9" ht="15" thickBot="1" x14ac:dyDescent="0.35">
      <c r="A18" t="s">
        <v>30</v>
      </c>
    </row>
    <row r="19" spans="1:9" x14ac:dyDescent="0.3">
      <c r="A19" s="15"/>
      <c r="B19" s="15" t="s">
        <v>35</v>
      </c>
      <c r="C19" s="15" t="s">
        <v>36</v>
      </c>
      <c r="D19" s="15" t="s">
        <v>37</v>
      </c>
      <c r="E19" s="15" t="s">
        <v>38</v>
      </c>
      <c r="F19" s="15" t="s">
        <v>39</v>
      </c>
    </row>
    <row r="20" spans="1:9" x14ac:dyDescent="0.3">
      <c r="A20" s="13" t="s">
        <v>31</v>
      </c>
      <c r="B20" s="13">
        <v>1</v>
      </c>
      <c r="C20" s="13">
        <v>5000</v>
      </c>
      <c r="D20" s="13">
        <v>5000</v>
      </c>
      <c r="E20" s="13" t="e">
        <v>#NUM!</v>
      </c>
      <c r="F20" s="13" t="e">
        <v>#NUM!</v>
      </c>
    </row>
    <row r="21" spans="1:9" x14ac:dyDescent="0.3">
      <c r="A21" s="13" t="s">
        <v>32</v>
      </c>
      <c r="B21" s="13">
        <v>0</v>
      </c>
      <c r="C21" s="13">
        <v>0</v>
      </c>
      <c r="D21" s="13">
        <v>65535</v>
      </c>
      <c r="E21" s="13"/>
      <c r="F21" s="13"/>
    </row>
    <row r="22" spans="1:9" ht="15" thickBot="1" x14ac:dyDescent="0.35">
      <c r="A22" s="14" t="s">
        <v>33</v>
      </c>
      <c r="B22" s="14">
        <v>1</v>
      </c>
      <c r="C22" s="14">
        <v>5000</v>
      </c>
      <c r="D22" s="14"/>
      <c r="E22" s="14"/>
      <c r="F22" s="14"/>
    </row>
    <row r="23" spans="1:9" ht="15" thickBot="1" x14ac:dyDescent="0.35"/>
    <row r="24" spans="1:9" x14ac:dyDescent="0.3">
      <c r="A24" s="15"/>
      <c r="B24" s="15" t="s">
        <v>40</v>
      </c>
      <c r="C24" s="15" t="s">
        <v>28</v>
      </c>
      <c r="D24" s="15" t="s">
        <v>41</v>
      </c>
      <c r="E24" s="15" t="s">
        <v>42</v>
      </c>
      <c r="F24" s="15" t="s">
        <v>43</v>
      </c>
      <c r="G24" s="15" t="s">
        <v>44</v>
      </c>
      <c r="H24" s="15" t="s">
        <v>45</v>
      </c>
      <c r="I24" s="15" t="s">
        <v>46</v>
      </c>
    </row>
    <row r="25" spans="1:9" x14ac:dyDescent="0.3">
      <c r="A25" s="13" t="s">
        <v>34</v>
      </c>
      <c r="B25" s="13">
        <v>-50</v>
      </c>
      <c r="C25" s="13">
        <v>0</v>
      </c>
      <c r="D25" s="13">
        <v>65535</v>
      </c>
      <c r="E25" s="13" t="e">
        <v>#NUM!</v>
      </c>
      <c r="F25" s="13" t="e">
        <v>#VALUE!</v>
      </c>
      <c r="G25" s="13" t="e">
        <v>#VALUE!</v>
      </c>
      <c r="H25" s="13">
        <v>-50</v>
      </c>
      <c r="I25" s="13">
        <v>-50</v>
      </c>
    </row>
    <row r="26" spans="1:9" ht="15" thickBot="1" x14ac:dyDescent="0.35">
      <c r="A26" s="14" t="s">
        <v>21</v>
      </c>
      <c r="B26" s="14">
        <v>0.2</v>
      </c>
      <c r="C26" s="14">
        <v>0</v>
      </c>
      <c r="D26" s="14">
        <v>65535</v>
      </c>
      <c r="E26" s="14" t="e">
        <v>#NUM!</v>
      </c>
      <c r="F26" s="14">
        <v>0.2</v>
      </c>
      <c r="G26" s="14">
        <v>0.2</v>
      </c>
      <c r="H26" s="14">
        <v>0.2</v>
      </c>
      <c r="I26" s="14">
        <v>0.2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5CFB1-3232-42AA-831C-7583AC407A64}">
  <dimension ref="A1:P214"/>
  <sheetViews>
    <sheetView workbookViewId="0">
      <selection activeCell="G2" sqref="G2:G201"/>
    </sheetView>
  </sheetViews>
  <sheetFormatPr defaultRowHeight="14.4" x14ac:dyDescent="0.3"/>
  <cols>
    <col min="8" max="8" width="16.44140625" bestFit="1" customWidth="1"/>
    <col min="13" max="13" width="12.77734375" bestFit="1" customWidth="1"/>
  </cols>
  <sheetData>
    <row r="1" spans="1:16" x14ac:dyDescent="0.3">
      <c r="B1" t="s">
        <v>47</v>
      </c>
      <c r="C1" t="s">
        <v>48</v>
      </c>
      <c r="D1" t="s">
        <v>49</v>
      </c>
      <c r="E1" t="s">
        <v>50</v>
      </c>
      <c r="G1" t="s">
        <v>51</v>
      </c>
    </row>
    <row r="2" spans="1:16" x14ac:dyDescent="0.3">
      <c r="A2">
        <v>1</v>
      </c>
      <c r="B2">
        <v>230.1</v>
      </c>
      <c r="C2">
        <v>37.799999999999997</v>
      </c>
      <c r="D2">
        <v>69.2</v>
      </c>
      <c r="E2">
        <v>22.1</v>
      </c>
      <c r="G2">
        <f>$P$3*B2+$P$4*C2+$P$5*D2+$P$2</f>
        <v>20.523974409715162</v>
      </c>
      <c r="O2" s="13" t="s">
        <v>34</v>
      </c>
      <c r="P2" s="13">
        <v>2.9388893694594174</v>
      </c>
    </row>
    <row r="3" spans="1:16" x14ac:dyDescent="0.3">
      <c r="A3">
        <v>2</v>
      </c>
      <c r="B3">
        <v>44.5</v>
      </c>
      <c r="C3">
        <v>39.299999999999997</v>
      </c>
      <c r="D3">
        <v>45.1</v>
      </c>
      <c r="E3">
        <v>10.4</v>
      </c>
      <c r="G3">
        <f t="shared" ref="G3:G66" si="0">$P$3*B3+$P$4*C3+$P$5*D3+$P$2</f>
        <v>12.337854820894359</v>
      </c>
      <c r="O3" s="13" t="s">
        <v>47</v>
      </c>
      <c r="P3" s="13">
        <v>4.576464545539756E-2</v>
      </c>
    </row>
    <row r="4" spans="1:16" x14ac:dyDescent="0.3">
      <c r="A4">
        <v>3</v>
      </c>
      <c r="B4">
        <v>17.2</v>
      </c>
      <c r="C4">
        <v>45.9</v>
      </c>
      <c r="D4">
        <v>69.3</v>
      </c>
      <c r="E4">
        <v>9.3000000000000007</v>
      </c>
      <c r="G4">
        <f t="shared" si="0"/>
        <v>12.307670779994229</v>
      </c>
      <c r="O4" s="13" t="s">
        <v>48</v>
      </c>
      <c r="P4" s="13">
        <v>0.18853001691820431</v>
      </c>
    </row>
    <row r="5" spans="1:16" ht="15" thickBot="1" x14ac:dyDescent="0.35">
      <c r="A5">
        <v>4</v>
      </c>
      <c r="B5">
        <v>151.5</v>
      </c>
      <c r="C5">
        <v>41.3</v>
      </c>
      <c r="D5">
        <v>58.5</v>
      </c>
      <c r="E5">
        <v>18.5</v>
      </c>
      <c r="G5">
        <f t="shared" si="0"/>
        <v>17.597829511689127</v>
      </c>
      <c r="O5" s="14" t="s">
        <v>49</v>
      </c>
      <c r="P5" s="14">
        <v>-1.037493042476263E-3</v>
      </c>
    </row>
    <row r="6" spans="1:16" x14ac:dyDescent="0.3">
      <c r="A6">
        <v>5</v>
      </c>
      <c r="B6">
        <v>180.8</v>
      </c>
      <c r="C6">
        <v>10.8</v>
      </c>
      <c r="D6">
        <v>58.4</v>
      </c>
      <c r="E6">
        <v>12.9</v>
      </c>
      <c r="G6">
        <f t="shared" si="0"/>
        <v>13.18867185683129</v>
      </c>
      <c r="H6" s="16"/>
    </row>
    <row r="7" spans="1:16" x14ac:dyDescent="0.3">
      <c r="A7">
        <v>6</v>
      </c>
      <c r="B7">
        <v>8.6999999999999993</v>
      </c>
      <c r="C7">
        <v>48.9</v>
      </c>
      <c r="D7">
        <v>75</v>
      </c>
      <c r="E7">
        <v>7.2</v>
      </c>
      <c r="G7">
        <f t="shared" si="0"/>
        <v>12.478347634035847</v>
      </c>
      <c r="H7" s="13"/>
    </row>
    <row r="8" spans="1:16" x14ac:dyDescent="0.3">
      <c r="A8">
        <v>7</v>
      </c>
      <c r="B8">
        <v>57.5</v>
      </c>
      <c r="C8">
        <v>32.799999999999997</v>
      </c>
      <c r="D8">
        <v>23.5</v>
      </c>
      <c r="E8">
        <v>11.8</v>
      </c>
      <c r="G8">
        <f t="shared" si="0"/>
        <v>11.729759951563686</v>
      </c>
      <c r="H8" s="13"/>
    </row>
    <row r="9" spans="1:16" x14ac:dyDescent="0.3">
      <c r="A9">
        <v>8</v>
      </c>
      <c r="B9">
        <v>120.2</v>
      </c>
      <c r="C9">
        <v>19.600000000000001</v>
      </c>
      <c r="D9">
        <v>11.6</v>
      </c>
      <c r="E9">
        <v>13.2</v>
      </c>
      <c r="G9">
        <f t="shared" si="0"/>
        <v>12.122953165502283</v>
      </c>
      <c r="H9" s="13"/>
    </row>
    <row r="10" spans="1:16" x14ac:dyDescent="0.3">
      <c r="A10">
        <v>9</v>
      </c>
      <c r="B10">
        <v>8.6</v>
      </c>
      <c r="C10">
        <v>2.1</v>
      </c>
      <c r="D10">
        <v>1</v>
      </c>
      <c r="E10">
        <v>4.8</v>
      </c>
      <c r="G10">
        <f t="shared" si="0"/>
        <v>3.7273408628615892</v>
      </c>
      <c r="H10" s="13"/>
    </row>
    <row r="11" spans="1:16" ht="15" thickBot="1" x14ac:dyDescent="0.35">
      <c r="A11">
        <v>10</v>
      </c>
      <c r="B11">
        <v>199.8</v>
      </c>
      <c r="C11">
        <v>2.6</v>
      </c>
      <c r="D11">
        <v>21.2</v>
      </c>
      <c r="E11">
        <v>10.6</v>
      </c>
      <c r="G11">
        <f t="shared" si="0"/>
        <v>12.550848722934685</v>
      </c>
      <c r="H11" s="14"/>
    </row>
    <row r="12" spans="1:16" x14ac:dyDescent="0.3">
      <c r="A12">
        <v>11</v>
      </c>
      <c r="B12">
        <v>66.099999999999994</v>
      </c>
      <c r="C12">
        <v>5.8</v>
      </c>
      <c r="D12">
        <v>24.2</v>
      </c>
      <c r="E12">
        <v>8.6</v>
      </c>
      <c r="G12">
        <f t="shared" si="0"/>
        <v>7.0322992005588549</v>
      </c>
    </row>
    <row r="13" spans="1:16" x14ac:dyDescent="0.3">
      <c r="A13">
        <v>12</v>
      </c>
      <c r="B13">
        <v>214.7</v>
      </c>
      <c r="C13">
        <v>24</v>
      </c>
      <c r="D13">
        <v>4</v>
      </c>
      <c r="E13">
        <v>17.399999999999999</v>
      </c>
      <c r="G13">
        <f t="shared" si="0"/>
        <v>17.285129182600272</v>
      </c>
    </row>
    <row r="14" spans="1:16" hidden="1" x14ac:dyDescent="0.3">
      <c r="A14">
        <v>13</v>
      </c>
      <c r="B14">
        <v>23.8</v>
      </c>
      <c r="C14">
        <v>35.1</v>
      </c>
      <c r="D14">
        <v>65.900000000000006</v>
      </c>
      <c r="E14">
        <v>9.1999999999999993</v>
      </c>
      <c r="G14">
        <f t="shared" si="0"/>
        <v>10.577120733627664</v>
      </c>
      <c r="H14" s="15" t="s">
        <v>35</v>
      </c>
      <c r="I14" s="15" t="s">
        <v>36</v>
      </c>
      <c r="J14" s="15" t="s">
        <v>37</v>
      </c>
      <c r="K14" s="15" t="s">
        <v>38</v>
      </c>
      <c r="L14" s="15" t="s">
        <v>39</v>
      </c>
    </row>
    <row r="15" spans="1:16" hidden="1" x14ac:dyDescent="0.3">
      <c r="A15">
        <v>14</v>
      </c>
      <c r="B15">
        <v>97.5</v>
      </c>
      <c r="C15">
        <v>7.6</v>
      </c>
      <c r="D15">
        <v>7.2</v>
      </c>
      <c r="E15">
        <v>9.6999999999999993</v>
      </c>
      <c r="G15">
        <f t="shared" si="0"/>
        <v>8.8263004800332023</v>
      </c>
      <c r="H15" s="13">
        <v>3</v>
      </c>
      <c r="I15" s="13">
        <v>4860.3234870978104</v>
      </c>
      <c r="J15" s="13">
        <v>1620.1078290326034</v>
      </c>
      <c r="K15" s="13">
        <v>570.27070365909378</v>
      </c>
      <c r="L15" s="13">
        <v>1.5752272560925405E-96</v>
      </c>
    </row>
    <row r="16" spans="1:16" hidden="1" x14ac:dyDescent="0.3">
      <c r="A16">
        <v>15</v>
      </c>
      <c r="B16">
        <v>204.1</v>
      </c>
      <c r="C16">
        <v>32.9</v>
      </c>
      <c r="D16">
        <v>46</v>
      </c>
      <c r="E16">
        <v>19</v>
      </c>
      <c r="G16">
        <f t="shared" si="0"/>
        <v>18.43436638356107</v>
      </c>
      <c r="H16" s="13">
        <v>196</v>
      </c>
      <c r="I16" s="13">
        <v>556.82526290218732</v>
      </c>
      <c r="J16" s="13">
        <v>2.8409452188887108</v>
      </c>
      <c r="K16" s="13"/>
      <c r="L16" s="13"/>
    </row>
    <row r="17" spans="1:15" ht="15" hidden="1" thickBot="1" x14ac:dyDescent="0.35">
      <c r="A17">
        <v>16</v>
      </c>
      <c r="B17">
        <v>195.4</v>
      </c>
      <c r="C17">
        <v>47.7</v>
      </c>
      <c r="D17">
        <v>52.9</v>
      </c>
      <c r="E17">
        <v>22.4</v>
      </c>
      <c r="G17">
        <f t="shared" si="0"/>
        <v>20.819299516495455</v>
      </c>
      <c r="H17" s="14">
        <v>199</v>
      </c>
      <c r="I17" s="14">
        <v>5417.1487499999976</v>
      </c>
      <c r="J17" s="14"/>
      <c r="K17" s="14"/>
      <c r="L17" s="14"/>
    </row>
    <row r="18" spans="1:15" hidden="1" x14ac:dyDescent="0.3">
      <c r="A18">
        <v>17</v>
      </c>
      <c r="B18">
        <v>67.8</v>
      </c>
      <c r="C18">
        <v>36.6</v>
      </c>
      <c r="D18">
        <v>114</v>
      </c>
      <c r="E18">
        <v>12.5</v>
      </c>
      <c r="G18">
        <f t="shared" si="0"/>
        <v>12.823656743699356</v>
      </c>
    </row>
    <row r="19" spans="1:15" hidden="1" x14ac:dyDescent="0.3">
      <c r="A19">
        <v>18</v>
      </c>
      <c r="B19">
        <v>281.39999999999998</v>
      </c>
      <c r="C19">
        <v>39.6</v>
      </c>
      <c r="D19">
        <v>55.8</v>
      </c>
      <c r="E19">
        <v>24.4</v>
      </c>
      <c r="G19">
        <f t="shared" si="0"/>
        <v>23.224957158799004</v>
      </c>
      <c r="H19" t="s">
        <v>40</v>
      </c>
      <c r="I19" t="s">
        <v>28</v>
      </c>
      <c r="J19" t="s">
        <v>41</v>
      </c>
      <c r="K19" t="s">
        <v>42</v>
      </c>
      <c r="L19" t="s">
        <v>43</v>
      </c>
      <c r="M19" t="s">
        <v>44</v>
      </c>
      <c r="N19" t="s">
        <v>45</v>
      </c>
      <c r="O19" t="s">
        <v>46</v>
      </c>
    </row>
    <row r="20" spans="1:15" hidden="1" x14ac:dyDescent="0.3">
      <c r="A20">
        <v>19</v>
      </c>
      <c r="B20">
        <v>69.2</v>
      </c>
      <c r="C20">
        <v>20.5</v>
      </c>
      <c r="D20">
        <v>18.3</v>
      </c>
      <c r="E20">
        <v>11.3</v>
      </c>
      <c r="G20">
        <f t="shared" si="0"/>
        <v>9.9516820591188022</v>
      </c>
      <c r="H20">
        <v>2.9388893694594174</v>
      </c>
      <c r="I20">
        <v>0.3119082363217911</v>
      </c>
      <c r="J20">
        <v>9.4222884400763594</v>
      </c>
      <c r="K20">
        <v>1.2672945051313229E-17</v>
      </c>
      <c r="L20">
        <v>2.3237622792333079</v>
      </c>
      <c r="M20">
        <v>3.5540164596855268</v>
      </c>
      <c r="N20">
        <v>2.3237622792333079</v>
      </c>
      <c r="O20">
        <v>3.5540164596855268</v>
      </c>
    </row>
    <row r="21" spans="1:15" hidden="1" x14ac:dyDescent="0.3">
      <c r="A21">
        <v>20</v>
      </c>
      <c r="B21">
        <v>147.30000000000001</v>
      </c>
      <c r="C21">
        <v>23.9</v>
      </c>
      <c r="D21">
        <v>19.100000000000001</v>
      </c>
      <c r="E21">
        <v>14.6</v>
      </c>
      <c r="G21">
        <f t="shared" si="0"/>
        <v>14.166072932273265</v>
      </c>
      <c r="H21">
        <v>4.576464545539756E-2</v>
      </c>
      <c r="I21">
        <v>1.3948968069749748E-3</v>
      </c>
      <c r="J21">
        <v>32.808624427669656</v>
      </c>
      <c r="K21">
        <v>1.5099599548145318E-81</v>
      </c>
      <c r="L21">
        <v>4.301371196239745E-2</v>
      </c>
      <c r="M21">
        <v>4.851557894839767E-2</v>
      </c>
      <c r="N21">
        <v>4.301371196239745E-2</v>
      </c>
      <c r="O21">
        <v>4.851557894839767E-2</v>
      </c>
    </row>
    <row r="22" spans="1:15" hidden="1" x14ac:dyDescent="0.3">
      <c r="A22">
        <v>21</v>
      </c>
      <c r="B22">
        <v>218.4</v>
      </c>
      <c r="C22">
        <v>27.7</v>
      </c>
      <c r="D22">
        <v>53.4</v>
      </c>
      <c r="E22">
        <v>18</v>
      </c>
      <c r="G22">
        <f t="shared" si="0"/>
        <v>18.100767277084273</v>
      </c>
      <c r="H22">
        <v>0.18853001691820431</v>
      </c>
      <c r="I22">
        <v>8.6112339673019428E-3</v>
      </c>
      <c r="J22">
        <v>21.893496058065441</v>
      </c>
      <c r="K22">
        <v>1.5053389205757539E-54</v>
      </c>
      <c r="L22">
        <v>0.1715474474419118</v>
      </c>
      <c r="M22">
        <v>0.20551258639449682</v>
      </c>
      <c r="N22">
        <v>0.1715474474419118</v>
      </c>
      <c r="O22">
        <v>0.20551258639449682</v>
      </c>
    </row>
    <row r="23" spans="1:15" hidden="1" x14ac:dyDescent="0.3">
      <c r="A23">
        <v>22</v>
      </c>
      <c r="B23">
        <v>237.4</v>
      </c>
      <c r="C23">
        <v>5.0999999999999996</v>
      </c>
      <c r="D23">
        <v>23.5</v>
      </c>
      <c r="E23">
        <v>12.5</v>
      </c>
      <c r="G23">
        <f t="shared" si="0"/>
        <v>14.740538200355449</v>
      </c>
      <c r="H23">
        <v>-1.037493042476263E-3</v>
      </c>
      <c r="I23">
        <v>5.8710096470863671E-3</v>
      </c>
      <c r="J23">
        <v>-0.17671458656027664</v>
      </c>
      <c r="K23">
        <v>0.85991505008057501</v>
      </c>
      <c r="L23">
        <v>-1.2615953180270797E-2</v>
      </c>
      <c r="M23">
        <v>1.0540967095318272E-2</v>
      </c>
      <c r="N23">
        <v>-1.2615953180270797E-2</v>
      </c>
      <c r="O23">
        <v>1.0540967095318272E-2</v>
      </c>
    </row>
    <row r="24" spans="1:15" hidden="1" x14ac:dyDescent="0.3">
      <c r="A24">
        <v>23</v>
      </c>
      <c r="B24">
        <v>13.2</v>
      </c>
      <c r="C24">
        <v>15.9</v>
      </c>
      <c r="D24">
        <v>49.6</v>
      </c>
      <c r="E24">
        <v>5.6</v>
      </c>
      <c r="G24">
        <f t="shared" si="0"/>
        <v>6.4891503035632914</v>
      </c>
    </row>
    <row r="25" spans="1:15" hidden="1" x14ac:dyDescent="0.3">
      <c r="A25">
        <v>24</v>
      </c>
      <c r="B25">
        <v>228.3</v>
      </c>
      <c r="C25">
        <v>16.899999999999999</v>
      </c>
      <c r="D25">
        <v>26.2</v>
      </c>
      <c r="E25">
        <v>15.5</v>
      </c>
      <c r="G25">
        <f t="shared" si="0"/>
        <v>16.545932895131454</v>
      </c>
    </row>
    <row r="26" spans="1:15" hidden="1" x14ac:dyDescent="0.3">
      <c r="A26">
        <v>25</v>
      </c>
      <c r="B26">
        <v>62.3</v>
      </c>
      <c r="C26">
        <v>12.6</v>
      </c>
      <c r="D26">
        <v>18.3</v>
      </c>
      <c r="E26">
        <v>9.6999999999999993</v>
      </c>
      <c r="G26">
        <f t="shared" si="0"/>
        <v>8.1465188718227441</v>
      </c>
    </row>
    <row r="27" spans="1:15" hidden="1" x14ac:dyDescent="0.3">
      <c r="A27">
        <v>26</v>
      </c>
      <c r="B27">
        <v>262.89999999999998</v>
      </c>
      <c r="C27">
        <v>3.5</v>
      </c>
      <c r="D27">
        <v>19.5</v>
      </c>
      <c r="E27">
        <v>12</v>
      </c>
      <c r="G27">
        <f t="shared" si="0"/>
        <v>15.610038604568864</v>
      </c>
    </row>
    <row r="28" spans="1:15" hidden="1" x14ac:dyDescent="0.3">
      <c r="A28">
        <v>27</v>
      </c>
      <c r="B28">
        <v>142.9</v>
      </c>
      <c r="C28">
        <v>29.3</v>
      </c>
      <c r="D28">
        <v>12.6</v>
      </c>
      <c r="E28">
        <v>15</v>
      </c>
      <c r="G28">
        <f t="shared" si="0"/>
        <v>14.989514288403914</v>
      </c>
    </row>
    <row r="29" spans="1:15" hidden="1" x14ac:dyDescent="0.3">
      <c r="A29">
        <v>28</v>
      </c>
      <c r="B29">
        <v>240.1</v>
      </c>
      <c r="C29">
        <v>16.7</v>
      </c>
      <c r="D29">
        <v>22.9</v>
      </c>
      <c r="E29">
        <v>15.9</v>
      </c>
      <c r="G29">
        <f t="shared" si="0"/>
        <v>17.051673435161675</v>
      </c>
    </row>
    <row r="30" spans="1:15" hidden="1" x14ac:dyDescent="0.3">
      <c r="A30">
        <v>29</v>
      </c>
      <c r="B30">
        <v>248.8</v>
      </c>
      <c r="C30">
        <v>27.1</v>
      </c>
      <c r="D30">
        <v>22.9</v>
      </c>
      <c r="E30">
        <v>18.899999999999999</v>
      </c>
      <c r="G30">
        <f t="shared" si="0"/>
        <v>19.410538026572961</v>
      </c>
    </row>
    <row r="31" spans="1:15" hidden="1" x14ac:dyDescent="0.3">
      <c r="A31">
        <v>30</v>
      </c>
      <c r="B31">
        <v>70.599999999999994</v>
      </c>
      <c r="C31">
        <v>16</v>
      </c>
      <c r="D31">
        <v>40.799999999999997</v>
      </c>
      <c r="E31">
        <v>10.5</v>
      </c>
      <c r="G31">
        <f t="shared" si="0"/>
        <v>9.1440238931687219</v>
      </c>
    </row>
    <row r="32" spans="1:15" hidden="1" x14ac:dyDescent="0.3">
      <c r="A32">
        <v>31</v>
      </c>
      <c r="B32">
        <v>292.89999999999998</v>
      </c>
      <c r="C32">
        <v>28.3</v>
      </c>
      <c r="D32">
        <v>43.2</v>
      </c>
      <c r="E32">
        <v>21.4</v>
      </c>
      <c r="G32">
        <f t="shared" si="0"/>
        <v>21.633933802695569</v>
      </c>
    </row>
    <row r="33" spans="1:7" hidden="1" x14ac:dyDescent="0.3">
      <c r="A33">
        <v>32</v>
      </c>
      <c r="B33">
        <v>112.9</v>
      </c>
      <c r="C33">
        <v>17.399999999999999</v>
      </c>
      <c r="D33">
        <v>38.6</v>
      </c>
      <c r="E33">
        <v>11.9</v>
      </c>
      <c r="G33">
        <f t="shared" si="0"/>
        <v>11.346092904310973</v>
      </c>
    </row>
    <row r="34" spans="1:7" hidden="1" x14ac:dyDescent="0.3">
      <c r="A34">
        <v>33</v>
      </c>
      <c r="B34">
        <v>97.2</v>
      </c>
      <c r="C34">
        <v>1.5</v>
      </c>
      <c r="D34">
        <v>30</v>
      </c>
      <c r="E34">
        <v>9.6</v>
      </c>
      <c r="G34">
        <f t="shared" si="0"/>
        <v>7.6388831418270788</v>
      </c>
    </row>
    <row r="35" spans="1:7" hidden="1" x14ac:dyDescent="0.3">
      <c r="A35">
        <v>34</v>
      </c>
      <c r="B35">
        <v>265.60000000000002</v>
      </c>
      <c r="C35">
        <v>20</v>
      </c>
      <c r="D35">
        <v>0.3</v>
      </c>
      <c r="E35">
        <v>17.399999999999999</v>
      </c>
      <c r="G35">
        <f t="shared" si="0"/>
        <v>18.864268292864352</v>
      </c>
    </row>
    <row r="36" spans="1:7" hidden="1" x14ac:dyDescent="0.3">
      <c r="A36">
        <v>35</v>
      </c>
      <c r="B36">
        <v>95.7</v>
      </c>
      <c r="C36">
        <v>1.4</v>
      </c>
      <c r="D36">
        <v>7.4</v>
      </c>
      <c r="E36">
        <v>9.5</v>
      </c>
      <c r="G36">
        <f t="shared" si="0"/>
        <v>7.5748305147121249</v>
      </c>
    </row>
    <row r="37" spans="1:7" hidden="1" x14ac:dyDescent="0.3">
      <c r="A37">
        <v>36</v>
      </c>
      <c r="B37">
        <v>290.7</v>
      </c>
      <c r="C37">
        <v>4.0999999999999996</v>
      </c>
      <c r="D37">
        <v>8.5</v>
      </c>
      <c r="E37">
        <v>12.8</v>
      </c>
      <c r="G37">
        <f t="shared" si="0"/>
        <v>17.006826181847075</v>
      </c>
    </row>
    <row r="38" spans="1:7" hidden="1" x14ac:dyDescent="0.3">
      <c r="A38">
        <v>37</v>
      </c>
      <c r="B38">
        <v>266.89999999999998</v>
      </c>
      <c r="C38">
        <v>43.8</v>
      </c>
      <c r="D38">
        <v>5</v>
      </c>
      <c r="E38">
        <v>25.4</v>
      </c>
      <c r="G38">
        <f t="shared" si="0"/>
        <v>23.405900517309995</v>
      </c>
    </row>
    <row r="39" spans="1:7" hidden="1" x14ac:dyDescent="0.3">
      <c r="A39">
        <v>38</v>
      </c>
      <c r="B39">
        <v>74.7</v>
      </c>
      <c r="C39">
        <v>49.4</v>
      </c>
      <c r="D39">
        <v>45.7</v>
      </c>
      <c r="E39">
        <v>14.7</v>
      </c>
      <c r="G39">
        <f t="shared" si="0"/>
        <v>15.623477788695743</v>
      </c>
    </row>
    <row r="40" spans="1:7" hidden="1" x14ac:dyDescent="0.3">
      <c r="A40">
        <v>39</v>
      </c>
      <c r="B40">
        <v>43.1</v>
      </c>
      <c r="C40">
        <v>26.7</v>
      </c>
      <c r="D40">
        <v>35.1</v>
      </c>
      <c r="E40">
        <v>10.1</v>
      </c>
      <c r="G40">
        <f t="shared" si="0"/>
        <v>9.9086810345121901</v>
      </c>
    </row>
    <row r="41" spans="1:7" hidden="1" x14ac:dyDescent="0.3">
      <c r="A41">
        <v>40</v>
      </c>
      <c r="B41">
        <v>228</v>
      </c>
      <c r="C41">
        <v>37.700000000000003</v>
      </c>
      <c r="D41">
        <v>32</v>
      </c>
      <c r="E41">
        <v>21.5</v>
      </c>
      <c r="G41">
        <f t="shared" si="0"/>
        <v>20.447610393747123</v>
      </c>
    </row>
    <row r="42" spans="1:7" hidden="1" x14ac:dyDescent="0.3">
      <c r="A42">
        <v>41</v>
      </c>
      <c r="B42">
        <v>202.5</v>
      </c>
      <c r="C42">
        <v>22.3</v>
      </c>
      <c r="D42">
        <v>31.6</v>
      </c>
      <c r="E42">
        <v>16.600000000000001</v>
      </c>
      <c r="G42">
        <f t="shared" si="0"/>
        <v>16.37766467131113</v>
      </c>
    </row>
    <row r="43" spans="1:7" hidden="1" x14ac:dyDescent="0.3">
      <c r="A43">
        <v>42</v>
      </c>
      <c r="B43">
        <v>177</v>
      </c>
      <c r="C43">
        <v>33.4</v>
      </c>
      <c r="D43">
        <v>38.700000000000003</v>
      </c>
      <c r="E43">
        <v>17.100000000000001</v>
      </c>
      <c r="G43">
        <f t="shared" si="0"/>
        <v>17.295983199388978</v>
      </c>
    </row>
    <row r="44" spans="1:7" hidden="1" x14ac:dyDescent="0.3">
      <c r="A44">
        <v>43</v>
      </c>
      <c r="B44">
        <v>293.60000000000002</v>
      </c>
      <c r="C44">
        <v>27.7</v>
      </c>
      <c r="D44">
        <v>1.8</v>
      </c>
      <c r="E44">
        <v>20.7</v>
      </c>
      <c r="G44">
        <f t="shared" si="0"/>
        <v>21.595803256321947</v>
      </c>
    </row>
    <row r="45" spans="1:7" hidden="1" x14ac:dyDescent="0.3">
      <c r="A45">
        <v>44</v>
      </c>
      <c r="B45">
        <v>206.9</v>
      </c>
      <c r="C45">
        <v>8.4</v>
      </c>
      <c r="D45">
        <v>26.4</v>
      </c>
      <c r="E45">
        <v>12.9</v>
      </c>
      <c r="G45">
        <f t="shared" si="0"/>
        <v>13.963856839972715</v>
      </c>
    </row>
    <row r="46" spans="1:7" hidden="1" x14ac:dyDescent="0.3">
      <c r="A46">
        <v>45</v>
      </c>
      <c r="B46">
        <v>25.1</v>
      </c>
      <c r="C46">
        <v>25.7</v>
      </c>
      <c r="D46">
        <v>43.3</v>
      </c>
      <c r="E46">
        <v>8.5</v>
      </c>
      <c r="G46">
        <f t="shared" si="0"/>
        <v>8.8878799564485238</v>
      </c>
    </row>
    <row r="47" spans="1:7" hidden="1" x14ac:dyDescent="0.3">
      <c r="A47">
        <v>46</v>
      </c>
      <c r="B47">
        <v>175.1</v>
      </c>
      <c r="C47">
        <v>22.5</v>
      </c>
      <c r="D47">
        <v>31.5</v>
      </c>
      <c r="E47">
        <v>14.9</v>
      </c>
      <c r="G47">
        <f t="shared" si="0"/>
        <v>15.161523138521126</v>
      </c>
    </row>
    <row r="48" spans="1:7" hidden="1" x14ac:dyDescent="0.3">
      <c r="A48">
        <v>47</v>
      </c>
      <c r="B48">
        <v>89.7</v>
      </c>
      <c r="C48">
        <v>9.9</v>
      </c>
      <c r="D48">
        <v>35.700000000000003</v>
      </c>
      <c r="E48">
        <v>10.6</v>
      </c>
      <c r="G48">
        <f t="shared" si="0"/>
        <v>8.8733867326823983</v>
      </c>
    </row>
    <row r="49" spans="1:7" hidden="1" x14ac:dyDescent="0.3">
      <c r="A49">
        <v>48</v>
      </c>
      <c r="B49">
        <v>239.9</v>
      </c>
      <c r="C49">
        <v>41.5</v>
      </c>
      <c r="D49">
        <v>18.5</v>
      </c>
      <c r="E49">
        <v>23.2</v>
      </c>
      <c r="G49">
        <f t="shared" si="0"/>
        <v>21.722629895028959</v>
      </c>
    </row>
    <row r="50" spans="1:7" hidden="1" x14ac:dyDescent="0.3">
      <c r="A50">
        <v>49</v>
      </c>
      <c r="B50">
        <v>227.2</v>
      </c>
      <c r="C50">
        <v>15.8</v>
      </c>
      <c r="D50">
        <v>49.9</v>
      </c>
      <c r="E50">
        <v>14.8</v>
      </c>
      <c r="G50">
        <f t="shared" si="0"/>
        <v>16.263620181413806</v>
      </c>
    </row>
    <row r="51" spans="1:7" hidden="1" x14ac:dyDescent="0.3">
      <c r="A51">
        <v>50</v>
      </c>
      <c r="B51">
        <v>66.900000000000006</v>
      </c>
      <c r="C51">
        <v>11.7</v>
      </c>
      <c r="D51">
        <v>36.799999999999997</v>
      </c>
      <c r="E51">
        <v>9.6999999999999993</v>
      </c>
      <c r="G51">
        <f t="shared" si="0"/>
        <v>8.1681656044053774</v>
      </c>
    </row>
    <row r="52" spans="1:7" hidden="1" x14ac:dyDescent="0.3">
      <c r="A52">
        <v>51</v>
      </c>
      <c r="B52">
        <v>199.8</v>
      </c>
      <c r="C52">
        <v>3.1</v>
      </c>
      <c r="D52">
        <v>34.6</v>
      </c>
      <c r="E52">
        <v>11.4</v>
      </c>
      <c r="G52">
        <f t="shared" si="0"/>
        <v>12.631211324624605</v>
      </c>
    </row>
    <row r="53" spans="1:7" hidden="1" x14ac:dyDescent="0.3">
      <c r="A53">
        <v>52</v>
      </c>
      <c r="B53">
        <v>100.4</v>
      </c>
      <c r="C53">
        <v>9.6</v>
      </c>
      <c r="D53">
        <v>3.6</v>
      </c>
      <c r="E53">
        <v>10.7</v>
      </c>
      <c r="G53">
        <f t="shared" si="0"/>
        <v>9.3398129606431795</v>
      </c>
    </row>
    <row r="54" spans="1:7" hidden="1" x14ac:dyDescent="0.3">
      <c r="A54">
        <v>53</v>
      </c>
      <c r="B54">
        <v>216.4</v>
      </c>
      <c r="C54">
        <v>41.7</v>
      </c>
      <c r="D54">
        <v>39.6</v>
      </c>
      <c r="E54">
        <v>22.6</v>
      </c>
      <c r="G54">
        <f t="shared" si="0"/>
        <v>20.662975627014507</v>
      </c>
    </row>
    <row r="55" spans="1:7" hidden="1" x14ac:dyDescent="0.3">
      <c r="A55">
        <v>54</v>
      </c>
      <c r="B55">
        <v>182.6</v>
      </c>
      <c r="C55">
        <v>46.2</v>
      </c>
      <c r="D55">
        <v>58.7</v>
      </c>
      <c r="E55">
        <v>21.2</v>
      </c>
      <c r="G55">
        <f t="shared" si="0"/>
        <v>19.944699569642697</v>
      </c>
    </row>
    <row r="56" spans="1:7" hidden="1" x14ac:dyDescent="0.3">
      <c r="A56">
        <v>55</v>
      </c>
      <c r="B56">
        <v>262.7</v>
      </c>
      <c r="C56">
        <v>28.8</v>
      </c>
      <c r="D56">
        <v>15.9</v>
      </c>
      <c r="E56">
        <v>20.2</v>
      </c>
      <c r="G56">
        <f t="shared" si="0"/>
        <v>20.374430078461266</v>
      </c>
    </row>
    <row r="57" spans="1:7" hidden="1" x14ac:dyDescent="0.3">
      <c r="A57">
        <v>56</v>
      </c>
      <c r="B57">
        <v>198.9</v>
      </c>
      <c r="C57">
        <v>49.4</v>
      </c>
      <c r="D57">
        <v>60</v>
      </c>
      <c r="E57">
        <v>23.7</v>
      </c>
      <c r="G57">
        <f t="shared" si="0"/>
        <v>21.292610603748713</v>
      </c>
    </row>
    <row r="58" spans="1:7" hidden="1" x14ac:dyDescent="0.3">
      <c r="A58">
        <v>57</v>
      </c>
      <c r="B58">
        <v>7.3</v>
      </c>
      <c r="C58">
        <v>28.1</v>
      </c>
      <c r="D58">
        <v>41.4</v>
      </c>
      <c r="E58">
        <v>5.5</v>
      </c>
      <c r="G58">
        <f t="shared" si="0"/>
        <v>8.5277125447268443</v>
      </c>
    </row>
    <row r="59" spans="1:7" hidden="1" x14ac:dyDescent="0.3">
      <c r="A59">
        <v>58</v>
      </c>
      <c r="B59">
        <v>136.19999999999999</v>
      </c>
      <c r="C59">
        <v>19.2</v>
      </c>
      <c r="D59">
        <v>16.600000000000001</v>
      </c>
      <c r="E59">
        <v>13.2</v>
      </c>
      <c r="G59">
        <f t="shared" si="0"/>
        <v>12.774588020808983</v>
      </c>
    </row>
    <row r="60" spans="1:7" hidden="1" x14ac:dyDescent="0.3">
      <c r="A60">
        <v>59</v>
      </c>
      <c r="B60">
        <v>210.8</v>
      </c>
      <c r="C60">
        <v>49.6</v>
      </c>
      <c r="D60">
        <v>37.700000000000003</v>
      </c>
      <c r="E60">
        <v>23.8</v>
      </c>
      <c r="G60">
        <f t="shared" si="0"/>
        <v>21.898051982898803</v>
      </c>
    </row>
    <row r="61" spans="1:7" hidden="1" x14ac:dyDescent="0.3">
      <c r="A61">
        <v>60</v>
      </c>
      <c r="B61">
        <v>210.7</v>
      </c>
      <c r="C61">
        <v>29.5</v>
      </c>
      <c r="D61">
        <v>9.3000000000000007</v>
      </c>
      <c r="E61">
        <v>18.399999999999999</v>
      </c>
      <c r="G61">
        <f t="shared" si="0"/>
        <v>18.13348698070368</v>
      </c>
    </row>
    <row r="62" spans="1:7" hidden="1" x14ac:dyDescent="0.3">
      <c r="A62">
        <v>61</v>
      </c>
      <c r="B62">
        <v>53.5</v>
      </c>
      <c r="C62">
        <v>2</v>
      </c>
      <c r="D62">
        <v>21.4</v>
      </c>
      <c r="E62">
        <v>8.1</v>
      </c>
      <c r="G62">
        <f t="shared" si="0"/>
        <v>5.7421555840506038</v>
      </c>
    </row>
    <row r="63" spans="1:7" hidden="1" x14ac:dyDescent="0.3">
      <c r="A63">
        <v>62</v>
      </c>
      <c r="B63">
        <v>261.3</v>
      </c>
      <c r="C63">
        <v>42.7</v>
      </c>
      <c r="D63">
        <v>54.7</v>
      </c>
      <c r="E63">
        <v>24.2</v>
      </c>
      <c r="G63">
        <f t="shared" si="0"/>
        <v>22.890672079938675</v>
      </c>
    </row>
    <row r="64" spans="1:7" hidden="1" x14ac:dyDescent="0.3">
      <c r="A64">
        <v>63</v>
      </c>
      <c r="B64">
        <v>239.3</v>
      </c>
      <c r="C64">
        <v>15.5</v>
      </c>
      <c r="D64">
        <v>27.3</v>
      </c>
      <c r="E64">
        <v>15.7</v>
      </c>
      <c r="G64">
        <f t="shared" si="0"/>
        <v>16.784260729108617</v>
      </c>
    </row>
    <row r="65" spans="1:7" hidden="1" x14ac:dyDescent="0.3">
      <c r="A65">
        <v>64</v>
      </c>
      <c r="B65">
        <v>102.7</v>
      </c>
      <c r="C65">
        <v>29.6</v>
      </c>
      <c r="D65">
        <v>8.4</v>
      </c>
      <c r="E65">
        <v>14</v>
      </c>
      <c r="G65">
        <f t="shared" si="0"/>
        <v>13.210692016950794</v>
      </c>
    </row>
    <row r="66" spans="1:7" hidden="1" x14ac:dyDescent="0.3">
      <c r="A66">
        <v>65</v>
      </c>
      <c r="B66">
        <v>131.1</v>
      </c>
      <c r="C66">
        <v>42.8</v>
      </c>
      <c r="D66">
        <v>28.9</v>
      </c>
      <c r="E66">
        <v>18</v>
      </c>
      <c r="G66">
        <f t="shared" si="0"/>
        <v>16.977735563833615</v>
      </c>
    </row>
    <row r="67" spans="1:7" hidden="1" x14ac:dyDescent="0.3">
      <c r="A67">
        <v>66</v>
      </c>
      <c r="B67">
        <v>69</v>
      </c>
      <c r="C67">
        <v>9.3000000000000007</v>
      </c>
      <c r="D67">
        <v>0.9</v>
      </c>
      <c r="E67">
        <v>9.3000000000000007</v>
      </c>
      <c r="G67">
        <f t="shared" ref="G67:G130" si="1">$P$3*B67+$P$4*C67+$P$5*D67+$P$2</f>
        <v>7.8490453194829195</v>
      </c>
    </row>
    <row r="68" spans="1:7" hidden="1" x14ac:dyDescent="0.3">
      <c r="A68">
        <v>67</v>
      </c>
      <c r="B68">
        <v>31.5</v>
      </c>
      <c r="C68">
        <v>24.6</v>
      </c>
      <c r="D68">
        <v>2.2000000000000002</v>
      </c>
      <c r="E68">
        <v>9.5</v>
      </c>
      <c r="G68">
        <f t="shared" si="1"/>
        <v>9.0160316327988177</v>
      </c>
    </row>
    <row r="69" spans="1:7" hidden="1" x14ac:dyDescent="0.3">
      <c r="A69">
        <v>68</v>
      </c>
      <c r="B69">
        <v>139.30000000000001</v>
      </c>
      <c r="C69">
        <v>14.5</v>
      </c>
      <c r="D69">
        <v>10.199999999999999</v>
      </c>
      <c r="E69">
        <v>13.4</v>
      </c>
      <c r="G69">
        <f t="shared" si="1"/>
        <v>12.037007297677002</v>
      </c>
    </row>
    <row r="70" spans="1:7" hidden="1" x14ac:dyDescent="0.3">
      <c r="A70">
        <v>69</v>
      </c>
      <c r="B70">
        <v>237.4</v>
      </c>
      <c r="C70">
        <v>27.5</v>
      </c>
      <c r="D70">
        <v>11</v>
      </c>
      <c r="E70">
        <v>18.899999999999999</v>
      </c>
      <c r="G70">
        <f t="shared" si="1"/>
        <v>18.976579242354177</v>
      </c>
    </row>
    <row r="71" spans="1:7" hidden="1" x14ac:dyDescent="0.3">
      <c r="A71">
        <v>70</v>
      </c>
      <c r="B71">
        <v>216.8</v>
      </c>
      <c r="C71">
        <v>43.9</v>
      </c>
      <c r="D71">
        <v>27.2</v>
      </c>
      <c r="E71">
        <v>22.3</v>
      </c>
      <c r="G71">
        <f t="shared" si="1"/>
        <v>21.108912436143427</v>
      </c>
    </row>
    <row r="72" spans="1:7" hidden="1" x14ac:dyDescent="0.3">
      <c r="A72">
        <v>71</v>
      </c>
      <c r="B72">
        <v>199.1</v>
      </c>
      <c r="C72">
        <v>30.6</v>
      </c>
      <c r="D72">
        <v>38.700000000000003</v>
      </c>
      <c r="E72">
        <v>18.3</v>
      </c>
      <c r="G72">
        <f t="shared" si="1"/>
        <v>17.779497816582293</v>
      </c>
    </row>
    <row r="73" spans="1:7" hidden="1" x14ac:dyDescent="0.3">
      <c r="A73">
        <v>72</v>
      </c>
      <c r="B73">
        <v>109.8</v>
      </c>
      <c r="C73">
        <v>14.3</v>
      </c>
      <c r="D73">
        <v>31.7</v>
      </c>
      <c r="E73">
        <v>12.4</v>
      </c>
      <c r="G73">
        <f t="shared" si="1"/>
        <v>10.626938152945893</v>
      </c>
    </row>
    <row r="74" spans="1:7" hidden="1" x14ac:dyDescent="0.3">
      <c r="A74">
        <v>73</v>
      </c>
      <c r="B74">
        <v>26.8</v>
      </c>
      <c r="C74">
        <v>33</v>
      </c>
      <c r="D74">
        <v>19.3</v>
      </c>
      <c r="E74">
        <v>8.8000000000000007</v>
      </c>
      <c r="G74">
        <f t="shared" si="1"/>
        <v>10.366848810245024</v>
      </c>
    </row>
    <row r="75" spans="1:7" hidden="1" x14ac:dyDescent="0.3">
      <c r="A75">
        <v>74</v>
      </c>
      <c r="B75">
        <v>129.4</v>
      </c>
      <c r="C75">
        <v>5.7</v>
      </c>
      <c r="D75">
        <v>31.3</v>
      </c>
      <c r="E75">
        <v>11</v>
      </c>
      <c r="G75">
        <f t="shared" si="1"/>
        <v>9.9029820555921191</v>
      </c>
    </row>
    <row r="76" spans="1:7" hidden="1" x14ac:dyDescent="0.3">
      <c r="A76">
        <v>75</v>
      </c>
      <c r="B76">
        <v>213.4</v>
      </c>
      <c r="C76">
        <v>24.6</v>
      </c>
      <c r="D76">
        <v>13.1</v>
      </c>
      <c r="E76">
        <v>17</v>
      </c>
      <c r="G76">
        <f t="shared" si="1"/>
        <v>17.329311966972643</v>
      </c>
    </row>
    <row r="77" spans="1:7" hidden="1" x14ac:dyDescent="0.3">
      <c r="A77">
        <v>76</v>
      </c>
      <c r="B77">
        <v>16.899999999999999</v>
      </c>
      <c r="C77">
        <v>43.7</v>
      </c>
      <c r="D77">
        <v>89.4</v>
      </c>
      <c r="E77">
        <v>8.6999999999999993</v>
      </c>
      <c r="G77">
        <f t="shared" si="1"/>
        <v>11.858321738983788</v>
      </c>
    </row>
    <row r="78" spans="1:7" hidden="1" x14ac:dyDescent="0.3">
      <c r="A78">
        <v>77</v>
      </c>
      <c r="B78">
        <v>27.5</v>
      </c>
      <c r="C78">
        <v>1.6</v>
      </c>
      <c r="D78">
        <v>20.7</v>
      </c>
      <c r="E78">
        <v>6.9</v>
      </c>
      <c r="G78">
        <f t="shared" si="1"/>
        <v>4.4775890405727186</v>
      </c>
    </row>
    <row r="79" spans="1:7" hidden="1" x14ac:dyDescent="0.3">
      <c r="A79">
        <v>78</v>
      </c>
      <c r="B79">
        <v>120.5</v>
      </c>
      <c r="C79">
        <v>28.5</v>
      </c>
      <c r="D79">
        <v>14.2</v>
      </c>
      <c r="E79">
        <v>14.2</v>
      </c>
      <c r="G79">
        <f t="shared" si="1"/>
        <v>13.811902227800482</v>
      </c>
    </row>
    <row r="80" spans="1:7" hidden="1" x14ac:dyDescent="0.3">
      <c r="A80">
        <v>79</v>
      </c>
      <c r="B80">
        <v>5.4</v>
      </c>
      <c r="C80">
        <v>29.9</v>
      </c>
      <c r="D80">
        <v>9.4</v>
      </c>
      <c r="E80">
        <v>5.3</v>
      </c>
      <c r="G80">
        <f t="shared" si="1"/>
        <v>8.8133135261735944</v>
      </c>
    </row>
    <row r="81" spans="1:7" hidden="1" x14ac:dyDescent="0.3">
      <c r="A81">
        <v>80</v>
      </c>
      <c r="B81">
        <v>116</v>
      </c>
      <c r="C81">
        <v>7.7</v>
      </c>
      <c r="D81">
        <v>23.1</v>
      </c>
      <c r="E81">
        <v>11</v>
      </c>
      <c r="G81">
        <f t="shared" si="1"/>
        <v>9.6753032832745056</v>
      </c>
    </row>
    <row r="82" spans="1:7" hidden="1" x14ac:dyDescent="0.3">
      <c r="A82">
        <v>81</v>
      </c>
      <c r="B82">
        <v>76.400000000000006</v>
      </c>
      <c r="C82">
        <v>26.7</v>
      </c>
      <c r="D82">
        <v>22.3</v>
      </c>
      <c r="E82">
        <v>11.8</v>
      </c>
      <c r="G82">
        <f t="shared" si="1"/>
        <v>11.445923639120625</v>
      </c>
    </row>
    <row r="83" spans="1:7" hidden="1" x14ac:dyDescent="0.3">
      <c r="A83">
        <v>82</v>
      </c>
      <c r="B83">
        <v>239.8</v>
      </c>
      <c r="C83">
        <v>4.0999999999999996</v>
      </c>
      <c r="D83">
        <v>36.9</v>
      </c>
      <c r="E83">
        <v>12.3</v>
      </c>
      <c r="G83">
        <f t="shared" si="1"/>
        <v>14.647940925761016</v>
      </c>
    </row>
    <row r="84" spans="1:7" hidden="1" x14ac:dyDescent="0.3">
      <c r="A84">
        <v>83</v>
      </c>
      <c r="B84">
        <v>75.3</v>
      </c>
      <c r="C84">
        <v>20.3</v>
      </c>
      <c r="D84">
        <v>32.5</v>
      </c>
      <c r="E84">
        <v>11.3</v>
      </c>
      <c r="G84">
        <f t="shared" si="1"/>
        <v>10.178407991809923</v>
      </c>
    </row>
    <row r="85" spans="1:7" hidden="1" x14ac:dyDescent="0.3">
      <c r="A85">
        <v>84</v>
      </c>
      <c r="B85">
        <v>68.400000000000006</v>
      </c>
      <c r="C85">
        <v>44.5</v>
      </c>
      <c r="D85">
        <v>35.6</v>
      </c>
      <c r="E85">
        <v>13.6</v>
      </c>
      <c r="G85">
        <f t="shared" si="1"/>
        <v>14.421842119156549</v>
      </c>
    </row>
    <row r="86" spans="1:7" hidden="1" x14ac:dyDescent="0.3">
      <c r="A86">
        <v>85</v>
      </c>
      <c r="B86">
        <v>213.5</v>
      </c>
      <c r="C86">
        <v>43</v>
      </c>
      <c r="D86">
        <v>33.799999999999997</v>
      </c>
      <c r="E86">
        <v>21.7</v>
      </c>
      <c r="G86">
        <f t="shared" si="1"/>
        <v>20.781364636833885</v>
      </c>
    </row>
    <row r="87" spans="1:7" hidden="1" x14ac:dyDescent="0.3">
      <c r="A87">
        <v>86</v>
      </c>
      <c r="B87">
        <v>193.2</v>
      </c>
      <c r="C87">
        <v>18.399999999999999</v>
      </c>
      <c r="D87">
        <v>65.7</v>
      </c>
      <c r="E87">
        <v>15.2</v>
      </c>
      <c r="G87">
        <f t="shared" si="1"/>
        <v>15.181407889846495</v>
      </c>
    </row>
    <row r="88" spans="1:7" hidden="1" x14ac:dyDescent="0.3">
      <c r="A88">
        <v>87</v>
      </c>
      <c r="B88">
        <v>76.3</v>
      </c>
      <c r="C88">
        <v>27.5</v>
      </c>
      <c r="D88">
        <v>16</v>
      </c>
      <c r="E88">
        <v>12</v>
      </c>
      <c r="G88">
        <f t="shared" si="1"/>
        <v>11.59870739427725</v>
      </c>
    </row>
    <row r="89" spans="1:7" hidden="1" x14ac:dyDescent="0.3">
      <c r="A89">
        <v>88</v>
      </c>
      <c r="B89">
        <v>110.7</v>
      </c>
      <c r="C89">
        <v>40.6</v>
      </c>
      <c r="D89">
        <v>63.2</v>
      </c>
      <c r="E89">
        <v>16</v>
      </c>
      <c r="G89">
        <f t="shared" si="1"/>
        <v>15.593784747966524</v>
      </c>
    </row>
    <row r="90" spans="1:7" hidden="1" x14ac:dyDescent="0.3">
      <c r="A90">
        <v>89</v>
      </c>
      <c r="B90">
        <v>88.3</v>
      </c>
      <c r="C90">
        <v>25.5</v>
      </c>
      <c r="D90">
        <v>73.400000000000006</v>
      </c>
      <c r="E90">
        <v>12.9</v>
      </c>
      <c r="G90">
        <f t="shared" si="1"/>
        <v>11.711271005267474</v>
      </c>
    </row>
    <row r="91" spans="1:7" hidden="1" x14ac:dyDescent="0.3">
      <c r="A91">
        <v>90</v>
      </c>
      <c r="B91">
        <v>109.8</v>
      </c>
      <c r="C91">
        <v>47.8</v>
      </c>
      <c r="D91">
        <v>51.4</v>
      </c>
      <c r="E91">
        <v>16.7</v>
      </c>
      <c r="G91">
        <f t="shared" si="1"/>
        <v>16.922255106768958</v>
      </c>
    </row>
    <row r="92" spans="1:7" hidden="1" x14ac:dyDescent="0.3">
      <c r="A92">
        <v>91</v>
      </c>
      <c r="B92">
        <v>134.30000000000001</v>
      </c>
      <c r="C92">
        <v>4.9000000000000004</v>
      </c>
      <c r="D92">
        <v>9.3000000000000007</v>
      </c>
      <c r="E92">
        <v>11.2</v>
      </c>
      <c r="G92">
        <f t="shared" si="1"/>
        <v>9.999229651723482</v>
      </c>
    </row>
    <row r="93" spans="1:7" hidden="1" x14ac:dyDescent="0.3">
      <c r="A93">
        <v>92</v>
      </c>
      <c r="B93">
        <v>28.6</v>
      </c>
      <c r="C93">
        <v>1.5</v>
      </c>
      <c r="D93">
        <v>33</v>
      </c>
      <c r="E93">
        <v>7.3</v>
      </c>
      <c r="G93">
        <f t="shared" si="1"/>
        <v>4.4963159844593772</v>
      </c>
    </row>
    <row r="94" spans="1:7" hidden="1" x14ac:dyDescent="0.3">
      <c r="A94">
        <v>93</v>
      </c>
      <c r="B94">
        <v>217.7</v>
      </c>
      <c r="C94">
        <v>33.5</v>
      </c>
      <c r="D94">
        <v>59</v>
      </c>
      <c r="E94">
        <v>19.399999999999999</v>
      </c>
      <c r="G94">
        <f t="shared" si="1"/>
        <v>19.156396162353211</v>
      </c>
    </row>
    <row r="95" spans="1:7" hidden="1" x14ac:dyDescent="0.3">
      <c r="A95">
        <v>94</v>
      </c>
      <c r="B95">
        <v>250.9</v>
      </c>
      <c r="C95">
        <v>36.5</v>
      </c>
      <c r="D95">
        <v>72.3</v>
      </c>
      <c r="E95">
        <v>22.2</v>
      </c>
      <c r="G95">
        <f t="shared" si="1"/>
        <v>21.22757378476209</v>
      </c>
    </row>
    <row r="96" spans="1:7" hidden="1" x14ac:dyDescent="0.3">
      <c r="A96">
        <v>95</v>
      </c>
      <c r="B96">
        <v>107.4</v>
      </c>
      <c r="C96">
        <v>14</v>
      </c>
      <c r="D96">
        <v>10.9</v>
      </c>
      <c r="E96">
        <v>11.5</v>
      </c>
      <c r="G96">
        <f t="shared" si="1"/>
        <v>10.482123854060985</v>
      </c>
    </row>
    <row r="97" spans="1:7" hidden="1" x14ac:dyDescent="0.3">
      <c r="A97">
        <v>96</v>
      </c>
      <c r="B97">
        <v>163.30000000000001</v>
      </c>
      <c r="C97">
        <v>31.6</v>
      </c>
      <c r="D97">
        <v>52.9</v>
      </c>
      <c r="E97">
        <v>16.899999999999999</v>
      </c>
      <c r="G97">
        <f t="shared" si="1"/>
        <v>16.3149211249941</v>
      </c>
    </row>
    <row r="98" spans="1:7" hidden="1" x14ac:dyDescent="0.3">
      <c r="A98">
        <v>97</v>
      </c>
      <c r="B98">
        <v>197.6</v>
      </c>
      <c r="C98">
        <v>3.5</v>
      </c>
      <c r="D98">
        <v>5.9</v>
      </c>
      <c r="E98">
        <v>11.7</v>
      </c>
      <c r="G98">
        <f t="shared" si="1"/>
        <v>12.63571716170908</v>
      </c>
    </row>
    <row r="99" spans="1:7" hidden="1" x14ac:dyDescent="0.3">
      <c r="A99">
        <v>98</v>
      </c>
      <c r="B99">
        <v>184.9</v>
      </c>
      <c r="C99">
        <v>21</v>
      </c>
      <c r="D99">
        <v>22</v>
      </c>
      <c r="E99">
        <v>15.5</v>
      </c>
      <c r="G99">
        <f t="shared" si="1"/>
        <v>15.337077822510238</v>
      </c>
    </row>
    <row r="100" spans="1:7" hidden="1" x14ac:dyDescent="0.3">
      <c r="A100">
        <v>99</v>
      </c>
      <c r="B100">
        <v>289.7</v>
      </c>
      <c r="C100">
        <v>42.3</v>
      </c>
      <c r="D100">
        <v>51.2</v>
      </c>
      <c r="E100">
        <v>25.4</v>
      </c>
      <c r="G100">
        <f t="shared" si="1"/>
        <v>24.118607229753344</v>
      </c>
    </row>
    <row r="101" spans="1:7" hidden="1" x14ac:dyDescent="0.3">
      <c r="A101">
        <v>100</v>
      </c>
      <c r="B101">
        <v>135.19999999999999</v>
      </c>
      <c r="C101">
        <v>41.7</v>
      </c>
      <c r="D101">
        <v>45.9</v>
      </c>
      <c r="E101">
        <v>17.2</v>
      </c>
      <c r="G101">
        <f t="shared" si="1"/>
        <v>16.940350209868626</v>
      </c>
    </row>
    <row r="102" spans="1:7" hidden="1" x14ac:dyDescent="0.3">
      <c r="A102">
        <v>101</v>
      </c>
      <c r="B102">
        <v>222.4</v>
      </c>
      <c r="C102">
        <v>4.3</v>
      </c>
      <c r="D102">
        <v>49.8</v>
      </c>
      <c r="E102">
        <v>11.7</v>
      </c>
      <c r="G102">
        <f t="shared" si="1"/>
        <v>13.875958437972796</v>
      </c>
    </row>
    <row r="103" spans="1:7" hidden="1" x14ac:dyDescent="0.3">
      <c r="A103">
        <v>102</v>
      </c>
      <c r="B103">
        <v>296.39999999999998</v>
      </c>
      <c r="C103">
        <v>36.299999999999997</v>
      </c>
      <c r="D103">
        <v>100.9</v>
      </c>
      <c r="E103">
        <v>23.8</v>
      </c>
      <c r="G103">
        <f t="shared" si="1"/>
        <v>23.242486848584214</v>
      </c>
    </row>
    <row r="104" spans="1:7" hidden="1" x14ac:dyDescent="0.3">
      <c r="A104">
        <v>103</v>
      </c>
      <c r="B104">
        <v>280.2</v>
      </c>
      <c r="C104">
        <v>10.1</v>
      </c>
      <c r="D104">
        <v>21.4</v>
      </c>
      <c r="E104">
        <v>14.8</v>
      </c>
      <c r="G104">
        <f t="shared" si="1"/>
        <v>17.644093845826681</v>
      </c>
    </row>
    <row r="105" spans="1:7" hidden="1" x14ac:dyDescent="0.3">
      <c r="A105">
        <v>104</v>
      </c>
      <c r="B105">
        <v>187.9</v>
      </c>
      <c r="C105">
        <v>17.2</v>
      </c>
      <c r="D105">
        <v>17.899999999999999</v>
      </c>
      <c r="E105">
        <v>14.7</v>
      </c>
      <c r="G105">
        <f t="shared" si="1"/>
        <v>14.762211416061408</v>
      </c>
    </row>
    <row r="106" spans="1:7" hidden="1" x14ac:dyDescent="0.3">
      <c r="A106">
        <v>105</v>
      </c>
      <c r="B106">
        <v>238.2</v>
      </c>
      <c r="C106">
        <v>34.299999999999997</v>
      </c>
      <c r="D106">
        <v>5.3</v>
      </c>
      <c r="E106">
        <v>20.7</v>
      </c>
      <c r="G106">
        <f t="shared" si="1"/>
        <v>20.301108784104397</v>
      </c>
    </row>
    <row r="107" spans="1:7" hidden="1" x14ac:dyDescent="0.3">
      <c r="A107">
        <v>106</v>
      </c>
      <c r="B107">
        <v>137.9</v>
      </c>
      <c r="C107">
        <v>46.4</v>
      </c>
      <c r="D107">
        <v>59</v>
      </c>
      <c r="E107">
        <v>19.2</v>
      </c>
      <c r="G107">
        <f t="shared" si="1"/>
        <v>17.936414673257321</v>
      </c>
    </row>
    <row r="108" spans="1:7" hidden="1" x14ac:dyDescent="0.3">
      <c r="A108">
        <v>107</v>
      </c>
      <c r="B108">
        <v>25</v>
      </c>
      <c r="C108">
        <v>11</v>
      </c>
      <c r="D108">
        <v>29.7</v>
      </c>
      <c r="E108">
        <v>7.2</v>
      </c>
      <c r="G108">
        <f t="shared" si="1"/>
        <v>6.1260221485830595</v>
      </c>
    </row>
    <row r="109" spans="1:7" hidden="1" x14ac:dyDescent="0.3">
      <c r="A109">
        <v>108</v>
      </c>
      <c r="B109">
        <v>90.4</v>
      </c>
      <c r="C109">
        <v>0.3</v>
      </c>
      <c r="D109">
        <v>23.2</v>
      </c>
      <c r="E109">
        <v>8.6999999999999993</v>
      </c>
      <c r="G109">
        <f t="shared" si="1"/>
        <v>7.108502485117369</v>
      </c>
    </row>
    <row r="110" spans="1:7" hidden="1" x14ac:dyDescent="0.3">
      <c r="A110">
        <v>109</v>
      </c>
      <c r="B110">
        <v>13.1</v>
      </c>
      <c r="C110">
        <v>0.4</v>
      </c>
      <c r="D110">
        <v>25.6</v>
      </c>
      <c r="E110">
        <v>5.3</v>
      </c>
      <c r="G110">
        <f t="shared" si="1"/>
        <v>3.5872584098050146</v>
      </c>
    </row>
    <row r="111" spans="1:7" hidden="1" x14ac:dyDescent="0.3">
      <c r="A111">
        <v>110</v>
      </c>
      <c r="B111">
        <v>255.4</v>
      </c>
      <c r="C111">
        <v>26.9</v>
      </c>
      <c r="D111">
        <v>5.5</v>
      </c>
      <c r="E111">
        <v>19.8</v>
      </c>
      <c r="G111">
        <f t="shared" si="1"/>
        <v>19.692931062134029</v>
      </c>
    </row>
    <row r="112" spans="1:7" hidden="1" x14ac:dyDescent="0.3">
      <c r="A112">
        <v>111</v>
      </c>
      <c r="B112">
        <v>225.8</v>
      </c>
      <c r="C112">
        <v>8.1999999999999993</v>
      </c>
      <c r="D112">
        <v>56.5</v>
      </c>
      <c r="E112">
        <v>13.4</v>
      </c>
      <c r="G112">
        <f t="shared" si="1"/>
        <v>14.759874095117553</v>
      </c>
    </row>
    <row r="113" spans="1:7" hidden="1" x14ac:dyDescent="0.3">
      <c r="A113">
        <v>112</v>
      </c>
      <c r="B113">
        <v>241.7</v>
      </c>
      <c r="C113">
        <v>38</v>
      </c>
      <c r="D113">
        <v>23.2</v>
      </c>
      <c r="E113">
        <v>21.8</v>
      </c>
      <c r="G113">
        <f t="shared" si="1"/>
        <v>21.14027498033532</v>
      </c>
    </row>
    <row r="114" spans="1:7" hidden="1" x14ac:dyDescent="0.3">
      <c r="A114">
        <v>113</v>
      </c>
      <c r="B114">
        <v>175.7</v>
      </c>
      <c r="C114">
        <v>15.4</v>
      </c>
      <c r="D114">
        <v>2.4</v>
      </c>
      <c r="E114">
        <v>14.1</v>
      </c>
      <c r="G114">
        <f t="shared" si="1"/>
        <v>13.880609853211171</v>
      </c>
    </row>
    <row r="115" spans="1:7" hidden="1" x14ac:dyDescent="0.3">
      <c r="A115">
        <v>114</v>
      </c>
      <c r="B115">
        <v>209.6</v>
      </c>
      <c r="C115">
        <v>20.6</v>
      </c>
      <c r="D115">
        <v>10.7</v>
      </c>
      <c r="E115">
        <v>15.9</v>
      </c>
      <c r="G115">
        <f t="shared" si="1"/>
        <v>16.403776229871259</v>
      </c>
    </row>
    <row r="116" spans="1:7" hidden="1" x14ac:dyDescent="0.3">
      <c r="A116">
        <v>115</v>
      </c>
      <c r="B116">
        <v>78.2</v>
      </c>
      <c r="C116">
        <v>46.8</v>
      </c>
      <c r="D116">
        <v>34.5</v>
      </c>
      <c r="E116">
        <v>14.6</v>
      </c>
      <c r="G116">
        <f t="shared" si="1"/>
        <v>15.305095925878035</v>
      </c>
    </row>
    <row r="117" spans="1:7" hidden="1" x14ac:dyDescent="0.3">
      <c r="A117">
        <v>116</v>
      </c>
      <c r="B117">
        <v>75.099999999999994</v>
      </c>
      <c r="C117">
        <v>35</v>
      </c>
      <c r="D117">
        <v>52.7</v>
      </c>
      <c r="E117">
        <v>12.6</v>
      </c>
      <c r="G117">
        <f t="shared" si="1"/>
        <v>12.919688951958426</v>
      </c>
    </row>
    <row r="118" spans="1:7" hidden="1" x14ac:dyDescent="0.3">
      <c r="A118">
        <v>117</v>
      </c>
      <c r="B118">
        <v>139.19999999999999</v>
      </c>
      <c r="C118">
        <v>14.3</v>
      </c>
      <c r="D118">
        <v>25.6</v>
      </c>
      <c r="E118">
        <v>12.2</v>
      </c>
      <c r="G118">
        <f t="shared" si="1"/>
        <v>11.978747436893686</v>
      </c>
    </row>
    <row r="119" spans="1:7" hidden="1" x14ac:dyDescent="0.3">
      <c r="A119">
        <v>118</v>
      </c>
      <c r="B119">
        <v>76.400000000000006</v>
      </c>
      <c r="C119">
        <v>0.8</v>
      </c>
      <c r="D119">
        <v>14.8</v>
      </c>
      <c r="E119">
        <v>9.4</v>
      </c>
      <c r="G119">
        <f t="shared" si="1"/>
        <v>6.5707773987577056</v>
      </c>
    </row>
    <row r="120" spans="1:7" hidden="1" x14ac:dyDescent="0.3">
      <c r="A120">
        <v>119</v>
      </c>
      <c r="B120">
        <v>125.7</v>
      </c>
      <c r="C120">
        <v>36.9</v>
      </c>
      <c r="D120">
        <v>79.2</v>
      </c>
      <c r="E120">
        <v>15.9</v>
      </c>
      <c r="G120">
        <f t="shared" si="1"/>
        <v>15.566093478520511</v>
      </c>
    </row>
    <row r="121" spans="1:7" hidden="1" x14ac:dyDescent="0.3">
      <c r="A121">
        <v>120</v>
      </c>
      <c r="B121">
        <v>19.399999999999999</v>
      </c>
      <c r="C121">
        <v>16</v>
      </c>
      <c r="D121">
        <v>22.3</v>
      </c>
      <c r="E121">
        <v>6.6</v>
      </c>
      <c r="G121">
        <f t="shared" si="1"/>
        <v>6.8200676671381784</v>
      </c>
    </row>
    <row r="122" spans="1:7" hidden="1" x14ac:dyDescent="0.3">
      <c r="A122">
        <v>121</v>
      </c>
      <c r="B122">
        <v>141.30000000000001</v>
      </c>
      <c r="C122">
        <v>26.8</v>
      </c>
      <c r="D122">
        <v>46.2</v>
      </c>
      <c r="E122">
        <v>15.5</v>
      </c>
      <c r="G122">
        <f t="shared" si="1"/>
        <v>14.410106047152565</v>
      </c>
    </row>
    <row r="123" spans="1:7" hidden="1" x14ac:dyDescent="0.3">
      <c r="A123">
        <v>122</v>
      </c>
      <c r="B123">
        <v>18.8</v>
      </c>
      <c r="C123">
        <v>21.7</v>
      </c>
      <c r="D123">
        <v>50.4</v>
      </c>
      <c r="E123">
        <v>7</v>
      </c>
      <c r="G123">
        <f t="shared" si="1"/>
        <v>7.8380764218051215</v>
      </c>
    </row>
    <row r="124" spans="1:7" hidden="1" x14ac:dyDescent="0.3">
      <c r="A124">
        <v>123</v>
      </c>
      <c r="B124">
        <v>224</v>
      </c>
      <c r="C124">
        <v>2.4</v>
      </c>
      <c r="D124">
        <v>15.6</v>
      </c>
      <c r="E124">
        <v>11.6</v>
      </c>
      <c r="G124">
        <f t="shared" si="1"/>
        <v>13.626457100609532</v>
      </c>
    </row>
    <row r="125" spans="1:7" hidden="1" x14ac:dyDescent="0.3">
      <c r="A125">
        <v>124</v>
      </c>
      <c r="B125">
        <v>123.1</v>
      </c>
      <c r="C125">
        <v>34.6</v>
      </c>
      <c r="D125">
        <v>12.4</v>
      </c>
      <c r="E125">
        <v>15.2</v>
      </c>
      <c r="G125">
        <f t="shared" si="1"/>
        <v>15.08279089666202</v>
      </c>
    </row>
    <row r="126" spans="1:7" hidden="1" x14ac:dyDescent="0.3">
      <c r="A126">
        <v>125</v>
      </c>
      <c r="B126">
        <v>229.5</v>
      </c>
      <c r="C126">
        <v>32.299999999999997</v>
      </c>
      <c r="D126">
        <v>74.2</v>
      </c>
      <c r="E126">
        <v>19.7</v>
      </c>
      <c r="G126">
        <f t="shared" si="1"/>
        <v>19.454413064179416</v>
      </c>
    </row>
    <row r="127" spans="1:7" hidden="1" x14ac:dyDescent="0.3">
      <c r="A127">
        <v>126</v>
      </c>
      <c r="B127">
        <v>87.2</v>
      </c>
      <c r="C127">
        <v>11.8</v>
      </c>
      <c r="D127">
        <v>25.9</v>
      </c>
      <c r="E127">
        <v>10.6</v>
      </c>
      <c r="G127">
        <f t="shared" si="1"/>
        <v>9.1273495830047615</v>
      </c>
    </row>
    <row r="128" spans="1:7" hidden="1" x14ac:dyDescent="0.3">
      <c r="A128">
        <v>127</v>
      </c>
      <c r="B128">
        <v>7.8</v>
      </c>
      <c r="C128">
        <v>38.9</v>
      </c>
      <c r="D128">
        <v>50.6</v>
      </c>
      <c r="E128">
        <v>6.6</v>
      </c>
      <c r="G128">
        <f t="shared" si="1"/>
        <v>10.577174114180366</v>
      </c>
    </row>
    <row r="129" spans="1:7" hidden="1" x14ac:dyDescent="0.3">
      <c r="A129">
        <v>128</v>
      </c>
      <c r="B129">
        <v>80.2</v>
      </c>
      <c r="C129">
        <v>0</v>
      </c>
      <c r="D129">
        <v>9.1999999999999993</v>
      </c>
      <c r="E129">
        <v>8.8000000000000007</v>
      </c>
      <c r="G129">
        <f t="shared" si="1"/>
        <v>6.59966899899152</v>
      </c>
    </row>
    <row r="130" spans="1:7" hidden="1" x14ac:dyDescent="0.3">
      <c r="A130">
        <v>129</v>
      </c>
      <c r="B130">
        <v>220.3</v>
      </c>
      <c r="C130">
        <v>49</v>
      </c>
      <c r="D130">
        <v>3.2</v>
      </c>
      <c r="E130">
        <v>24.7</v>
      </c>
      <c r="G130">
        <f t="shared" si="1"/>
        <v>22.25549161453959</v>
      </c>
    </row>
    <row r="131" spans="1:7" hidden="1" x14ac:dyDescent="0.3">
      <c r="A131">
        <v>130</v>
      </c>
      <c r="B131">
        <v>59.6</v>
      </c>
      <c r="C131">
        <v>12</v>
      </c>
      <c r="D131">
        <v>43.1</v>
      </c>
      <c r="E131">
        <v>9.6999999999999993</v>
      </c>
      <c r="G131">
        <f t="shared" ref="G131:G194" si="2">$P$3*B131+$P$4*C131+$P$5*D131+$P$2</f>
        <v>7.8841064914888372</v>
      </c>
    </row>
    <row r="132" spans="1:7" hidden="1" x14ac:dyDescent="0.3">
      <c r="A132">
        <v>131</v>
      </c>
      <c r="B132">
        <v>0.7</v>
      </c>
      <c r="C132">
        <v>39.6</v>
      </c>
      <c r="D132">
        <v>8.6999999999999993</v>
      </c>
      <c r="E132">
        <v>1.6</v>
      </c>
      <c r="G132">
        <f t="shared" si="2"/>
        <v>10.427687101769543</v>
      </c>
    </row>
    <row r="133" spans="1:7" hidden="1" x14ac:dyDescent="0.3">
      <c r="A133">
        <v>132</v>
      </c>
      <c r="B133">
        <v>265.2</v>
      </c>
      <c r="C133">
        <v>2.9</v>
      </c>
      <c r="D133">
        <v>43</v>
      </c>
      <c r="E133">
        <v>12.7</v>
      </c>
      <c r="G133">
        <f t="shared" si="2"/>
        <v>15.577798192467164</v>
      </c>
    </row>
    <row r="134" spans="1:7" hidden="1" x14ac:dyDescent="0.3">
      <c r="A134">
        <v>133</v>
      </c>
      <c r="B134">
        <v>8.4</v>
      </c>
      <c r="C134">
        <v>27.2</v>
      </c>
      <c r="D134">
        <v>2.1</v>
      </c>
      <c r="E134">
        <v>5.7</v>
      </c>
      <c r="G134">
        <f t="shared" si="2"/>
        <v>8.4491501160707152</v>
      </c>
    </row>
    <row r="135" spans="1:7" hidden="1" x14ac:dyDescent="0.3">
      <c r="A135">
        <v>134</v>
      </c>
      <c r="B135">
        <v>219.8</v>
      </c>
      <c r="C135">
        <v>33.5</v>
      </c>
      <c r="D135">
        <v>45.1</v>
      </c>
      <c r="E135">
        <v>19.600000000000001</v>
      </c>
      <c r="G135">
        <f t="shared" si="2"/>
        <v>19.266923071099967</v>
      </c>
    </row>
    <row r="136" spans="1:7" hidden="1" x14ac:dyDescent="0.3">
      <c r="A136">
        <v>135</v>
      </c>
      <c r="B136">
        <v>36.9</v>
      </c>
      <c r="C136">
        <v>38.6</v>
      </c>
      <c r="D136">
        <v>65.599999999999994</v>
      </c>
      <c r="E136">
        <v>10.8</v>
      </c>
      <c r="G136">
        <f t="shared" si="2"/>
        <v>11.836803896219831</v>
      </c>
    </row>
    <row r="137" spans="1:7" hidden="1" x14ac:dyDescent="0.3">
      <c r="A137">
        <v>136</v>
      </c>
      <c r="B137">
        <v>48.3</v>
      </c>
      <c r="C137">
        <v>47</v>
      </c>
      <c r="D137">
        <v>8.5</v>
      </c>
      <c r="E137">
        <v>11.6</v>
      </c>
      <c r="G137">
        <f t="shared" si="2"/>
        <v>14.001413849249673</v>
      </c>
    </row>
    <row r="138" spans="1:7" hidden="1" x14ac:dyDescent="0.3">
      <c r="A138">
        <v>137</v>
      </c>
      <c r="B138">
        <v>25.6</v>
      </c>
      <c r="C138">
        <v>39</v>
      </c>
      <c r="D138">
        <v>9.3000000000000007</v>
      </c>
      <c r="E138">
        <v>9.5</v>
      </c>
      <c r="G138">
        <f t="shared" si="2"/>
        <v>11.453486267632533</v>
      </c>
    </row>
    <row r="139" spans="1:7" hidden="1" x14ac:dyDescent="0.3">
      <c r="A139">
        <v>138</v>
      </c>
      <c r="B139">
        <v>273.7</v>
      </c>
      <c r="C139">
        <v>28.9</v>
      </c>
      <c r="D139">
        <v>59.7</v>
      </c>
      <c r="E139">
        <v>20.8</v>
      </c>
      <c r="G139">
        <f t="shared" si="2"/>
        <v>20.851251984901999</v>
      </c>
    </row>
    <row r="140" spans="1:7" hidden="1" x14ac:dyDescent="0.3">
      <c r="A140">
        <v>139</v>
      </c>
      <c r="B140">
        <v>43</v>
      </c>
      <c r="C140">
        <v>25.9</v>
      </c>
      <c r="D140">
        <v>20.5</v>
      </c>
      <c r="E140">
        <v>9.6</v>
      </c>
      <c r="G140">
        <f t="shared" si="2"/>
        <v>9.768427954852239</v>
      </c>
    </row>
    <row r="141" spans="1:7" hidden="1" x14ac:dyDescent="0.3">
      <c r="A141">
        <v>140</v>
      </c>
      <c r="B141">
        <v>184.9</v>
      </c>
      <c r="C141">
        <v>43.9</v>
      </c>
      <c r="D141">
        <v>1.7</v>
      </c>
      <c r="E141">
        <v>20.7</v>
      </c>
      <c r="G141">
        <f t="shared" si="2"/>
        <v>19.675476318699388</v>
      </c>
    </row>
    <row r="142" spans="1:7" hidden="1" x14ac:dyDescent="0.3">
      <c r="A142">
        <v>141</v>
      </c>
      <c r="B142">
        <v>73.400000000000006</v>
      </c>
      <c r="C142">
        <v>17</v>
      </c>
      <c r="D142">
        <v>12.9</v>
      </c>
      <c r="E142">
        <v>10.9</v>
      </c>
      <c r="G142">
        <f t="shared" si="2"/>
        <v>9.489640973247127</v>
      </c>
    </row>
    <row r="143" spans="1:7" hidden="1" x14ac:dyDescent="0.3">
      <c r="A143">
        <v>142</v>
      </c>
      <c r="B143">
        <v>193.7</v>
      </c>
      <c r="C143">
        <v>35.4</v>
      </c>
      <c r="D143">
        <v>75.599999999999994</v>
      </c>
      <c r="E143">
        <v>19.2</v>
      </c>
      <c r="G143">
        <f t="shared" si="2"/>
        <v>18.399029319063153</v>
      </c>
    </row>
    <row r="144" spans="1:7" hidden="1" x14ac:dyDescent="0.3">
      <c r="A144">
        <v>143</v>
      </c>
      <c r="B144">
        <v>220.5</v>
      </c>
      <c r="C144">
        <v>33.200000000000003</v>
      </c>
      <c r="D144">
        <v>37.9</v>
      </c>
      <c r="E144">
        <v>20.100000000000001</v>
      </c>
      <c r="G144">
        <f t="shared" si="2"/>
        <v>19.249869267749116</v>
      </c>
    </row>
    <row r="145" spans="1:7" hidden="1" x14ac:dyDescent="0.3">
      <c r="A145">
        <v>144</v>
      </c>
      <c r="B145">
        <v>104.6</v>
      </c>
      <c r="C145">
        <v>5.7</v>
      </c>
      <c r="D145">
        <v>34.4</v>
      </c>
      <c r="E145">
        <v>10.4</v>
      </c>
      <c r="G145">
        <f t="shared" si="2"/>
        <v>8.7648026198665825</v>
      </c>
    </row>
    <row r="146" spans="1:7" hidden="1" x14ac:dyDescent="0.3">
      <c r="A146">
        <v>145</v>
      </c>
      <c r="B146">
        <v>96.2</v>
      </c>
      <c r="C146">
        <v>14.8</v>
      </c>
      <c r="D146">
        <v>38.9</v>
      </c>
      <c r="E146">
        <v>11.4</v>
      </c>
      <c r="G146">
        <f t="shared" si="2"/>
        <v>10.09133403330576</v>
      </c>
    </row>
    <row r="147" spans="1:7" hidden="1" x14ac:dyDescent="0.3">
      <c r="A147">
        <v>146</v>
      </c>
      <c r="B147">
        <v>140.30000000000001</v>
      </c>
      <c r="C147">
        <v>1.9</v>
      </c>
      <c r="D147">
        <v>9</v>
      </c>
      <c r="E147">
        <v>10.3</v>
      </c>
      <c r="G147">
        <f t="shared" si="2"/>
        <v>9.7085387216139978</v>
      </c>
    </row>
    <row r="148" spans="1:7" hidden="1" x14ac:dyDescent="0.3">
      <c r="A148">
        <v>147</v>
      </c>
      <c r="B148">
        <v>240.1</v>
      </c>
      <c r="C148">
        <v>7.3</v>
      </c>
      <c r="D148">
        <v>8.6999999999999993</v>
      </c>
      <c r="E148">
        <v>13.2</v>
      </c>
      <c r="G148">
        <f t="shared" si="2"/>
        <v>15.29422367733372</v>
      </c>
    </row>
    <row r="149" spans="1:7" hidden="1" x14ac:dyDescent="0.3">
      <c r="A149">
        <v>148</v>
      </c>
      <c r="B149">
        <v>243.2</v>
      </c>
      <c r="C149">
        <v>49</v>
      </c>
      <c r="D149">
        <v>44.3</v>
      </c>
      <c r="E149">
        <v>25.4</v>
      </c>
      <c r="G149">
        <f t="shared" si="2"/>
        <v>23.260861031422419</v>
      </c>
    </row>
    <row r="150" spans="1:7" hidden="1" x14ac:dyDescent="0.3">
      <c r="A150">
        <v>149</v>
      </c>
      <c r="B150">
        <v>38</v>
      </c>
      <c r="C150">
        <v>40.299999999999997</v>
      </c>
      <c r="D150">
        <v>11.9</v>
      </c>
      <c r="E150">
        <v>10.9</v>
      </c>
      <c r="G150">
        <f t="shared" si="2"/>
        <v>12.263359411362689</v>
      </c>
    </row>
    <row r="151" spans="1:7" hidden="1" x14ac:dyDescent="0.3">
      <c r="A151">
        <v>150</v>
      </c>
      <c r="B151">
        <v>44.7</v>
      </c>
      <c r="C151">
        <v>25.8</v>
      </c>
      <c r="D151">
        <v>20.6</v>
      </c>
      <c r="E151">
        <v>10.1</v>
      </c>
      <c r="G151">
        <f t="shared" si="2"/>
        <v>9.82727110113035</v>
      </c>
    </row>
    <row r="152" spans="1:7" hidden="1" x14ac:dyDescent="0.3">
      <c r="A152">
        <v>151</v>
      </c>
      <c r="B152">
        <v>280.7</v>
      </c>
      <c r="C152">
        <v>13.9</v>
      </c>
      <c r="D152">
        <v>37</v>
      </c>
      <c r="E152">
        <v>16.100000000000001</v>
      </c>
      <c r="G152">
        <f t="shared" si="2"/>
        <v>18.367205341380931</v>
      </c>
    </row>
    <row r="153" spans="1:7" hidden="1" x14ac:dyDescent="0.3">
      <c r="A153">
        <v>152</v>
      </c>
      <c r="B153">
        <v>121</v>
      </c>
      <c r="C153">
        <v>8.4</v>
      </c>
      <c r="D153">
        <v>48.7</v>
      </c>
      <c r="E153">
        <v>11.6</v>
      </c>
      <c r="G153">
        <f t="shared" si="2"/>
        <v>10.009537700506844</v>
      </c>
    </row>
    <row r="154" spans="1:7" hidden="1" x14ac:dyDescent="0.3">
      <c r="A154">
        <v>153</v>
      </c>
      <c r="B154">
        <v>197.6</v>
      </c>
      <c r="C154">
        <v>23.3</v>
      </c>
      <c r="D154">
        <v>14.2</v>
      </c>
      <c r="E154">
        <v>16.600000000000001</v>
      </c>
      <c r="G154">
        <f t="shared" si="2"/>
        <v>16.360000304436973</v>
      </c>
    </row>
    <row r="155" spans="1:7" hidden="1" x14ac:dyDescent="0.3">
      <c r="A155">
        <v>154</v>
      </c>
      <c r="B155">
        <v>171.3</v>
      </c>
      <c r="C155">
        <v>39.700000000000003</v>
      </c>
      <c r="D155">
        <v>37.700000000000003</v>
      </c>
      <c r="E155">
        <v>19</v>
      </c>
      <c r="G155">
        <f t="shared" si="2"/>
        <v>18.22390131992038</v>
      </c>
    </row>
    <row r="156" spans="1:7" hidden="1" x14ac:dyDescent="0.3">
      <c r="A156">
        <v>155</v>
      </c>
      <c r="B156">
        <v>187.8</v>
      </c>
      <c r="C156">
        <v>21.1</v>
      </c>
      <c r="D156">
        <v>9.5</v>
      </c>
      <c r="E156">
        <v>15.6</v>
      </c>
      <c r="G156">
        <f t="shared" si="2"/>
        <v>15.501616959053665</v>
      </c>
    </row>
    <row r="157" spans="1:7" hidden="1" x14ac:dyDescent="0.3">
      <c r="A157">
        <v>156</v>
      </c>
      <c r="B157">
        <v>4.0999999999999996</v>
      </c>
      <c r="C157">
        <v>11.6</v>
      </c>
      <c r="D157">
        <v>5.7</v>
      </c>
      <c r="E157">
        <v>3.2</v>
      </c>
      <c r="G157">
        <f t="shared" si="2"/>
        <v>5.3075589017356029</v>
      </c>
    </row>
    <row r="158" spans="1:7" hidden="1" x14ac:dyDescent="0.3">
      <c r="A158">
        <v>157</v>
      </c>
      <c r="B158">
        <v>93.9</v>
      </c>
      <c r="C158">
        <v>43.5</v>
      </c>
      <c r="D158">
        <v>50.5</v>
      </c>
      <c r="E158">
        <v>15.3</v>
      </c>
      <c r="G158">
        <f t="shared" si="2"/>
        <v>15.384851915018084</v>
      </c>
    </row>
    <row r="159" spans="1:7" hidden="1" x14ac:dyDescent="0.3">
      <c r="A159">
        <v>158</v>
      </c>
      <c r="B159">
        <v>149.80000000000001</v>
      </c>
      <c r="C159">
        <v>1.3</v>
      </c>
      <c r="D159">
        <v>24.3</v>
      </c>
      <c r="E159">
        <v>10.1</v>
      </c>
      <c r="G159">
        <f t="shared" si="2"/>
        <v>10.014311199739463</v>
      </c>
    </row>
    <row r="160" spans="1:7" hidden="1" x14ac:dyDescent="0.3">
      <c r="A160">
        <v>159</v>
      </c>
      <c r="B160">
        <v>11.7</v>
      </c>
      <c r="C160">
        <v>36.9</v>
      </c>
      <c r="D160">
        <v>45.2</v>
      </c>
      <c r="E160">
        <v>7.3</v>
      </c>
      <c r="G160">
        <f t="shared" si="2"/>
        <v>10.38419866004938</v>
      </c>
    </row>
    <row r="161" spans="1:7" hidden="1" x14ac:dyDescent="0.3">
      <c r="A161">
        <v>160</v>
      </c>
      <c r="B161">
        <v>131.69999999999999</v>
      </c>
      <c r="C161">
        <v>18.399999999999999</v>
      </c>
      <c r="D161">
        <v>34.6</v>
      </c>
      <c r="E161">
        <v>12.9</v>
      </c>
      <c r="G161">
        <f t="shared" si="2"/>
        <v>12.399148227960556</v>
      </c>
    </row>
    <row r="162" spans="1:7" hidden="1" x14ac:dyDescent="0.3">
      <c r="A162">
        <v>161</v>
      </c>
      <c r="B162">
        <v>172.5</v>
      </c>
      <c r="C162">
        <v>18.100000000000001</v>
      </c>
      <c r="D162">
        <v>30.7</v>
      </c>
      <c r="E162">
        <v>14.4</v>
      </c>
      <c r="G162">
        <f t="shared" si="2"/>
        <v>14.213832980330974</v>
      </c>
    </row>
    <row r="163" spans="1:7" hidden="1" x14ac:dyDescent="0.3">
      <c r="A163">
        <v>162</v>
      </c>
      <c r="B163">
        <v>85.7</v>
      </c>
      <c r="C163">
        <v>35.799999999999997</v>
      </c>
      <c r="D163">
        <v>49.3</v>
      </c>
      <c r="E163">
        <v>13.3</v>
      </c>
      <c r="G163">
        <f t="shared" si="2"/>
        <v>13.559145683664621</v>
      </c>
    </row>
    <row r="164" spans="1:7" hidden="1" x14ac:dyDescent="0.3">
      <c r="A164">
        <v>163</v>
      </c>
      <c r="B164">
        <v>188.4</v>
      </c>
      <c r="C164">
        <v>18.100000000000001</v>
      </c>
      <c r="D164">
        <v>25.6</v>
      </c>
      <c r="E164">
        <v>14.9</v>
      </c>
      <c r="G164">
        <f t="shared" si="2"/>
        <v>14.946782057588425</v>
      </c>
    </row>
    <row r="165" spans="1:7" hidden="1" x14ac:dyDescent="0.3">
      <c r="A165">
        <v>164</v>
      </c>
      <c r="B165">
        <v>163.5</v>
      </c>
      <c r="C165">
        <v>36.799999999999997</v>
      </c>
      <c r="D165">
        <v>7.4</v>
      </c>
      <c r="E165">
        <v>18</v>
      </c>
      <c r="G165">
        <f t="shared" si="2"/>
        <v>17.351636075492515</v>
      </c>
    </row>
    <row r="166" spans="1:7" hidden="1" x14ac:dyDescent="0.3">
      <c r="A166">
        <v>165</v>
      </c>
      <c r="B166">
        <v>117.2</v>
      </c>
      <c r="C166">
        <v>14.7</v>
      </c>
      <c r="D166">
        <v>5.4</v>
      </c>
      <c r="E166">
        <v>11.9</v>
      </c>
      <c r="G166">
        <f t="shared" si="2"/>
        <v>11.068294603100242</v>
      </c>
    </row>
    <row r="167" spans="1:7" hidden="1" x14ac:dyDescent="0.3">
      <c r="A167">
        <v>166</v>
      </c>
      <c r="B167">
        <v>234.5</v>
      </c>
      <c r="C167">
        <v>3.4</v>
      </c>
      <c r="D167">
        <v>84.8</v>
      </c>
      <c r="E167">
        <v>11.9</v>
      </c>
      <c r="G167">
        <f t="shared" si="2"/>
        <v>14.223721376270053</v>
      </c>
    </row>
    <row r="168" spans="1:7" hidden="1" x14ac:dyDescent="0.3">
      <c r="A168">
        <v>167</v>
      </c>
      <c r="B168">
        <v>17.899999999999999</v>
      </c>
      <c r="C168">
        <v>37.6</v>
      </c>
      <c r="D168">
        <v>21.6</v>
      </c>
      <c r="E168">
        <v>8</v>
      </c>
      <c r="G168">
        <f t="shared" si="2"/>
        <v>10.824395309518028</v>
      </c>
    </row>
    <row r="169" spans="1:7" hidden="1" x14ac:dyDescent="0.3">
      <c r="A169">
        <v>168</v>
      </c>
      <c r="B169">
        <v>206.8</v>
      </c>
      <c r="C169">
        <v>5.2</v>
      </c>
      <c r="D169">
        <v>19.399999999999999</v>
      </c>
      <c r="E169">
        <v>12.2</v>
      </c>
      <c r="G169">
        <f t="shared" si="2"/>
        <v>13.363246772586256</v>
      </c>
    </row>
    <row r="170" spans="1:7" hidden="1" x14ac:dyDescent="0.3">
      <c r="A170">
        <v>169</v>
      </c>
      <c r="B170">
        <v>215.4</v>
      </c>
      <c r="C170">
        <v>23.6</v>
      </c>
      <c r="D170">
        <v>57.6</v>
      </c>
      <c r="E170">
        <v>17.100000000000001</v>
      </c>
      <c r="G170">
        <f t="shared" si="2"/>
        <v>17.186142800575041</v>
      </c>
    </row>
    <row r="171" spans="1:7" hidden="1" x14ac:dyDescent="0.3">
      <c r="A171">
        <v>170</v>
      </c>
      <c r="B171">
        <v>284.3</v>
      </c>
      <c r="C171">
        <v>10.6</v>
      </c>
      <c r="D171">
        <v>6.4</v>
      </c>
      <c r="E171">
        <v>15</v>
      </c>
      <c r="G171">
        <f t="shared" si="2"/>
        <v>17.941556296290063</v>
      </c>
    </row>
    <row r="172" spans="1:7" hidden="1" x14ac:dyDescent="0.3">
      <c r="A172">
        <v>171</v>
      </c>
      <c r="B172">
        <v>50</v>
      </c>
      <c r="C172">
        <v>11.6</v>
      </c>
      <c r="D172">
        <v>18.399999999999999</v>
      </c>
      <c r="E172">
        <v>8.4</v>
      </c>
      <c r="G172">
        <f t="shared" si="2"/>
        <v>7.3949799664989015</v>
      </c>
    </row>
    <row r="173" spans="1:7" hidden="1" x14ac:dyDescent="0.3">
      <c r="A173">
        <v>172</v>
      </c>
      <c r="B173">
        <v>164.5</v>
      </c>
      <c r="C173">
        <v>20.9</v>
      </c>
      <c r="D173">
        <v>47.4</v>
      </c>
      <c r="E173">
        <v>14.5</v>
      </c>
      <c r="G173">
        <f t="shared" si="2"/>
        <v>14.358273730249412</v>
      </c>
    </row>
    <row r="174" spans="1:7" hidden="1" x14ac:dyDescent="0.3">
      <c r="A174">
        <v>173</v>
      </c>
      <c r="B174">
        <v>19.600000000000001</v>
      </c>
      <c r="C174">
        <v>20.100000000000001</v>
      </c>
      <c r="D174">
        <v>17</v>
      </c>
      <c r="E174">
        <v>7.6</v>
      </c>
      <c r="G174">
        <f t="shared" si="2"/>
        <v>7.6076923787190207</v>
      </c>
    </row>
    <row r="175" spans="1:7" hidden="1" x14ac:dyDescent="0.3">
      <c r="A175">
        <v>174</v>
      </c>
      <c r="B175">
        <v>168.4</v>
      </c>
      <c r="C175">
        <v>7.1</v>
      </c>
      <c r="D175">
        <v>12.8</v>
      </c>
      <c r="E175">
        <v>11.7</v>
      </c>
      <c r="G175">
        <f t="shared" si="2"/>
        <v>11.970938873323922</v>
      </c>
    </row>
    <row r="176" spans="1:7" hidden="1" x14ac:dyDescent="0.3">
      <c r="A176">
        <v>175</v>
      </c>
      <c r="B176">
        <v>222.4</v>
      </c>
      <c r="C176">
        <v>3.4</v>
      </c>
      <c r="D176">
        <v>13.1</v>
      </c>
      <c r="E176">
        <v>11.5</v>
      </c>
      <c r="G176">
        <f t="shared" si="2"/>
        <v>13.744357417405292</v>
      </c>
    </row>
    <row r="177" spans="1:7" hidden="1" x14ac:dyDescent="0.3">
      <c r="A177">
        <v>176</v>
      </c>
      <c r="B177">
        <v>276.89999999999998</v>
      </c>
      <c r="C177">
        <v>48.9</v>
      </c>
      <c r="D177">
        <v>41.8</v>
      </c>
      <c r="E177">
        <v>27</v>
      </c>
      <c r="G177">
        <f t="shared" si="2"/>
        <v>24.786870314183684</v>
      </c>
    </row>
    <row r="178" spans="1:7" hidden="1" x14ac:dyDescent="0.3">
      <c r="A178">
        <v>177</v>
      </c>
      <c r="B178">
        <v>248.4</v>
      </c>
      <c r="C178">
        <v>30.2</v>
      </c>
      <c r="D178">
        <v>20.3</v>
      </c>
      <c r="E178">
        <v>20.2</v>
      </c>
      <c r="G178">
        <f t="shared" si="2"/>
        <v>19.979372702747675</v>
      </c>
    </row>
    <row r="179" spans="1:7" hidden="1" x14ac:dyDescent="0.3">
      <c r="A179">
        <v>178</v>
      </c>
      <c r="B179">
        <v>170.2</v>
      </c>
      <c r="C179">
        <v>7.8</v>
      </c>
      <c r="D179">
        <v>35.200000000000003</v>
      </c>
      <c r="E179">
        <v>11.7</v>
      </c>
      <c r="G179">
        <f t="shared" si="2"/>
        <v>12.16204640283491</v>
      </c>
    </row>
    <row r="180" spans="1:7" hidden="1" x14ac:dyDescent="0.3">
      <c r="A180">
        <v>179</v>
      </c>
      <c r="B180">
        <v>276.7</v>
      </c>
      <c r="C180">
        <v>2.2999999999999998</v>
      </c>
      <c r="D180">
        <v>23.7</v>
      </c>
      <c r="E180">
        <v>11.8</v>
      </c>
      <c r="G180">
        <f t="shared" si="2"/>
        <v>16.010997220773103</v>
      </c>
    </row>
    <row r="181" spans="1:7" hidden="1" x14ac:dyDescent="0.3">
      <c r="A181">
        <v>180</v>
      </c>
      <c r="B181">
        <v>165.6</v>
      </c>
      <c r="C181">
        <v>10</v>
      </c>
      <c r="D181">
        <v>17.600000000000001</v>
      </c>
      <c r="E181">
        <v>12.6</v>
      </c>
      <c r="G181">
        <f t="shared" si="2"/>
        <v>12.384554948507715</v>
      </c>
    </row>
    <row r="182" spans="1:7" hidden="1" x14ac:dyDescent="0.3">
      <c r="A182">
        <v>181</v>
      </c>
      <c r="B182">
        <v>156.6</v>
      </c>
      <c r="C182">
        <v>2.6</v>
      </c>
      <c r="D182">
        <v>8.3000000000000007</v>
      </c>
      <c r="E182">
        <v>10.5</v>
      </c>
      <c r="G182">
        <f t="shared" si="2"/>
        <v>10.587199699509455</v>
      </c>
    </row>
    <row r="183" spans="1:7" hidden="1" x14ac:dyDescent="0.3">
      <c r="A183">
        <v>182</v>
      </c>
      <c r="B183">
        <v>218.5</v>
      </c>
      <c r="C183">
        <v>5.4</v>
      </c>
      <c r="D183">
        <v>27.4</v>
      </c>
      <c r="E183">
        <v>12.2</v>
      </c>
      <c r="G183">
        <f t="shared" si="2"/>
        <v>13.928099183458238</v>
      </c>
    </row>
    <row r="184" spans="1:7" hidden="1" x14ac:dyDescent="0.3">
      <c r="A184">
        <v>183</v>
      </c>
      <c r="B184">
        <v>56.2</v>
      </c>
      <c r="C184">
        <v>5.7</v>
      </c>
      <c r="D184">
        <v>29.7</v>
      </c>
      <c r="E184">
        <v>8.6999999999999993</v>
      </c>
      <c r="G184">
        <f t="shared" si="2"/>
        <v>6.5546699971249804</v>
      </c>
    </row>
    <row r="185" spans="1:7" hidden="1" x14ac:dyDescent="0.3">
      <c r="A185">
        <v>184</v>
      </c>
      <c r="B185">
        <v>287.60000000000002</v>
      </c>
      <c r="C185">
        <v>43</v>
      </c>
      <c r="D185">
        <v>71.8</v>
      </c>
      <c r="E185">
        <v>26.2</v>
      </c>
      <c r="G185">
        <f t="shared" si="2"/>
        <v>24.133100129464747</v>
      </c>
    </row>
    <row r="186" spans="1:7" hidden="1" x14ac:dyDescent="0.3">
      <c r="A186">
        <v>185</v>
      </c>
      <c r="B186">
        <v>253.8</v>
      </c>
      <c r="C186">
        <v>21.3</v>
      </c>
      <c r="D186">
        <v>30</v>
      </c>
      <c r="E186">
        <v>17.600000000000001</v>
      </c>
      <c r="G186">
        <f t="shared" si="2"/>
        <v>18.538520955122785</v>
      </c>
    </row>
    <row r="187" spans="1:7" hidden="1" x14ac:dyDescent="0.3">
      <c r="A187">
        <v>186</v>
      </c>
      <c r="B187">
        <v>205</v>
      </c>
      <c r="C187">
        <v>45.1</v>
      </c>
      <c r="D187">
        <v>19.600000000000001</v>
      </c>
      <c r="E187">
        <v>22.6</v>
      </c>
      <c r="G187">
        <f t="shared" si="2"/>
        <v>20.803010587194397</v>
      </c>
    </row>
    <row r="188" spans="1:7" hidden="1" x14ac:dyDescent="0.3">
      <c r="A188">
        <v>187</v>
      </c>
      <c r="B188">
        <v>139.5</v>
      </c>
      <c r="C188">
        <v>2.1</v>
      </c>
      <c r="D188">
        <v>26.6</v>
      </c>
      <c r="E188">
        <v>10.3</v>
      </c>
      <c r="G188">
        <f t="shared" si="2"/>
        <v>9.6913731310857365</v>
      </c>
    </row>
    <row r="189" spans="1:7" x14ac:dyDescent="0.3">
      <c r="A189">
        <v>188</v>
      </c>
      <c r="B189">
        <v>191.1</v>
      </c>
      <c r="C189">
        <v>28.7</v>
      </c>
      <c r="D189">
        <v>18.2</v>
      </c>
      <c r="E189">
        <v>17.3</v>
      </c>
      <c r="G189">
        <f t="shared" si="2"/>
        <v>17.076442228165288</v>
      </c>
    </row>
    <row r="190" spans="1:7" x14ac:dyDescent="0.3">
      <c r="A190">
        <v>189</v>
      </c>
      <c r="B190">
        <v>286</v>
      </c>
      <c r="C190">
        <v>13.9</v>
      </c>
      <c r="D190">
        <v>3.7</v>
      </c>
      <c r="E190">
        <v>15.9</v>
      </c>
      <c r="G190">
        <f t="shared" si="2"/>
        <v>18.644306480608996</v>
      </c>
    </row>
    <row r="191" spans="1:7" x14ac:dyDescent="0.3">
      <c r="A191">
        <v>190</v>
      </c>
      <c r="B191">
        <v>18.7</v>
      </c>
      <c r="C191">
        <v>12.1</v>
      </c>
      <c r="D191">
        <v>23.4</v>
      </c>
      <c r="E191">
        <v>6.7</v>
      </c>
      <c r="G191">
        <f t="shared" si="2"/>
        <v>6.0516241069916799</v>
      </c>
    </row>
    <row r="192" spans="1:7" x14ac:dyDescent="0.3">
      <c r="A192">
        <v>191</v>
      </c>
      <c r="B192">
        <v>39.5</v>
      </c>
      <c r="C192">
        <v>41.1</v>
      </c>
      <c r="D192">
        <v>5.8</v>
      </c>
      <c r="E192">
        <v>10.8</v>
      </c>
      <c r="G192">
        <f t="shared" si="2"/>
        <v>12.489159100639457</v>
      </c>
    </row>
    <row r="193" spans="1:13" x14ac:dyDescent="0.3">
      <c r="A193">
        <v>192</v>
      </c>
      <c r="B193">
        <v>75.5</v>
      </c>
      <c r="C193">
        <v>10.8</v>
      </c>
      <c r="D193">
        <v>6</v>
      </c>
      <c r="E193">
        <v>9.9</v>
      </c>
      <c r="G193">
        <f t="shared" si="2"/>
        <v>8.424019325803684</v>
      </c>
    </row>
    <row r="194" spans="1:13" x14ac:dyDescent="0.3">
      <c r="A194">
        <v>193</v>
      </c>
      <c r="B194">
        <v>17.2</v>
      </c>
      <c r="C194">
        <v>4.0999999999999996</v>
      </c>
      <c r="D194">
        <v>31.6</v>
      </c>
      <c r="E194">
        <v>5.9</v>
      </c>
      <c r="G194">
        <f t="shared" si="2"/>
        <v>4.4662295605146429</v>
      </c>
    </row>
    <row r="195" spans="1:13" x14ac:dyDescent="0.3">
      <c r="A195">
        <v>194</v>
      </c>
      <c r="B195">
        <v>166.8</v>
      </c>
      <c r="C195">
        <v>42</v>
      </c>
      <c r="D195">
        <v>3.6</v>
      </c>
      <c r="E195">
        <v>19.600000000000001</v>
      </c>
      <c r="G195">
        <f t="shared" ref="G195:G201" si="3">$P$3*B195+$P$4*C195+$P$5*D195+$P$2</f>
        <v>18.486957967031397</v>
      </c>
      <c r="H195" t="s">
        <v>23</v>
      </c>
    </row>
    <row r="196" spans="1:13" ht="15" thickBot="1" x14ac:dyDescent="0.35">
      <c r="A196">
        <v>195</v>
      </c>
      <c r="B196">
        <v>149.69999999999999</v>
      </c>
      <c r="C196">
        <v>35.6</v>
      </c>
      <c r="D196">
        <v>6</v>
      </c>
      <c r="E196">
        <v>17.3</v>
      </c>
      <c r="G196">
        <f t="shared" si="3"/>
        <v>16.495300438165646</v>
      </c>
    </row>
    <row r="197" spans="1:13" x14ac:dyDescent="0.3">
      <c r="A197">
        <v>196</v>
      </c>
      <c r="B197">
        <v>38.200000000000003</v>
      </c>
      <c r="C197">
        <v>3.7</v>
      </c>
      <c r="D197">
        <v>13.8</v>
      </c>
      <c r="E197">
        <v>7.6</v>
      </c>
      <c r="G197">
        <f t="shared" si="3"/>
        <v>5.3703424844667875</v>
      </c>
      <c r="H197" s="16" t="s">
        <v>24</v>
      </c>
      <c r="I197" s="16"/>
    </row>
    <row r="198" spans="1:13" x14ac:dyDescent="0.3">
      <c r="A198">
        <v>197</v>
      </c>
      <c r="B198">
        <v>94.2</v>
      </c>
      <c r="C198">
        <v>4.9000000000000004</v>
      </c>
      <c r="D198">
        <v>8.1</v>
      </c>
      <c r="E198">
        <v>9.6999999999999993</v>
      </c>
      <c r="G198">
        <f t="shared" si="3"/>
        <v>8.1653123606130116</v>
      </c>
      <c r="H198" s="13" t="s">
        <v>25</v>
      </c>
      <c r="I198" s="13">
        <v>0.94721203443524304</v>
      </c>
    </row>
    <row r="199" spans="1:13" x14ac:dyDescent="0.3">
      <c r="A199">
        <v>198</v>
      </c>
      <c r="B199">
        <v>177</v>
      </c>
      <c r="C199">
        <v>9.3000000000000007</v>
      </c>
      <c r="D199">
        <v>6.4</v>
      </c>
      <c r="E199">
        <v>12.8</v>
      </c>
      <c r="G199">
        <f t="shared" si="3"/>
        <v>12.785920816932238</v>
      </c>
      <c r="H199" s="13" t="s">
        <v>26</v>
      </c>
      <c r="I199" s="13">
        <v>0.89721063817895208</v>
      </c>
    </row>
    <row r="200" spans="1:13" x14ac:dyDescent="0.3">
      <c r="A200">
        <v>199</v>
      </c>
      <c r="B200">
        <v>283.60000000000002</v>
      </c>
      <c r="C200">
        <v>42</v>
      </c>
      <c r="D200">
        <v>66.2</v>
      </c>
      <c r="E200">
        <v>25.5</v>
      </c>
      <c r="G200">
        <f t="shared" si="3"/>
        <v>23.767321491762818</v>
      </c>
      <c r="H200" s="13" t="s">
        <v>27</v>
      </c>
      <c r="I200" s="13">
        <v>0.89563733162046666</v>
      </c>
    </row>
    <row r="201" spans="1:13" x14ac:dyDescent="0.3">
      <c r="A201">
        <v>200</v>
      </c>
      <c r="B201">
        <v>232.1</v>
      </c>
      <c r="C201">
        <v>8.6</v>
      </c>
      <c r="D201">
        <v>8.6999999999999993</v>
      </c>
      <c r="E201">
        <v>13.4</v>
      </c>
      <c r="G201">
        <f t="shared" si="3"/>
        <v>15.173195535684206</v>
      </c>
      <c r="H201" s="13" t="s">
        <v>28</v>
      </c>
      <c r="I201" s="13">
        <v>1.6855103734147443</v>
      </c>
    </row>
    <row r="202" spans="1:13" ht="15" thickBot="1" x14ac:dyDescent="0.35">
      <c r="H202" s="14" t="s">
        <v>29</v>
      </c>
      <c r="I202" s="14">
        <v>200</v>
      </c>
    </row>
    <row r="204" spans="1:13" ht="15" thickBot="1" x14ac:dyDescent="0.35">
      <c r="H204" t="s">
        <v>30</v>
      </c>
    </row>
    <row r="205" spans="1:13" x14ac:dyDescent="0.3">
      <c r="H205" s="15"/>
      <c r="I205" s="15" t="s">
        <v>35</v>
      </c>
      <c r="J205" s="15" t="s">
        <v>36</v>
      </c>
      <c r="K205" s="15" t="s">
        <v>37</v>
      </c>
      <c r="L205" s="15" t="s">
        <v>38</v>
      </c>
      <c r="M205" s="15" t="s">
        <v>39</v>
      </c>
    </row>
    <row r="206" spans="1:13" x14ac:dyDescent="0.3">
      <c r="H206" s="13" t="s">
        <v>31</v>
      </c>
      <c r="I206" s="13">
        <v>3</v>
      </c>
      <c r="J206" s="13">
        <v>4860.3234870978104</v>
      </c>
      <c r="K206" s="13">
        <v>1620.1078290326034</v>
      </c>
      <c r="L206" s="13">
        <v>570.27070365909378</v>
      </c>
      <c r="M206" s="13">
        <v>1.5752272560925405E-96</v>
      </c>
    </row>
    <row r="207" spans="1:13" x14ac:dyDescent="0.3">
      <c r="H207" s="13" t="s">
        <v>32</v>
      </c>
      <c r="I207" s="13">
        <v>196</v>
      </c>
      <c r="J207" s="13">
        <v>556.82526290218732</v>
      </c>
      <c r="K207" s="13">
        <v>2.8409452188887108</v>
      </c>
      <c r="L207" s="13"/>
      <c r="M207" s="13"/>
    </row>
    <row r="208" spans="1:13" ht="15" thickBot="1" x14ac:dyDescent="0.35">
      <c r="H208" s="14" t="s">
        <v>33</v>
      </c>
      <c r="I208" s="14">
        <v>199</v>
      </c>
      <c r="J208" s="14">
        <v>5417.1487499999976</v>
      </c>
      <c r="K208" s="14"/>
      <c r="L208" s="14"/>
      <c r="M208" s="14"/>
    </row>
    <row r="209" spans="8:16" ht="15" thickBot="1" x14ac:dyDescent="0.35"/>
    <row r="210" spans="8:16" x14ac:dyDescent="0.3">
      <c r="H210" s="15"/>
      <c r="I210" s="15" t="s">
        <v>40</v>
      </c>
      <c r="J210" s="15" t="s">
        <v>28</v>
      </c>
      <c r="K210" s="15" t="s">
        <v>41</v>
      </c>
      <c r="L210" s="15" t="s">
        <v>42</v>
      </c>
      <c r="M210" s="15" t="s">
        <v>43</v>
      </c>
      <c r="N210" s="15" t="s">
        <v>44</v>
      </c>
      <c r="O210" s="15" t="s">
        <v>45</v>
      </c>
      <c r="P210" s="15" t="s">
        <v>46</v>
      </c>
    </row>
    <row r="211" spans="8:16" x14ac:dyDescent="0.3">
      <c r="H211" s="13" t="s">
        <v>34</v>
      </c>
      <c r="I211" s="13">
        <v>2.9388893694594174</v>
      </c>
      <c r="J211" s="13">
        <v>0.3119082363217911</v>
      </c>
      <c r="K211" s="13">
        <v>9.4222884400763594</v>
      </c>
      <c r="L211" s="13">
        <v>1.2672945051313229E-17</v>
      </c>
      <c r="M211" s="13">
        <v>2.3237622792333079</v>
      </c>
      <c r="N211" s="13">
        <v>3.5540164596855268</v>
      </c>
      <c r="O211" s="13">
        <v>2.3237622792333079</v>
      </c>
      <c r="P211" s="13">
        <v>3.5540164596855268</v>
      </c>
    </row>
    <row r="212" spans="8:16" x14ac:dyDescent="0.3">
      <c r="H212" s="13" t="s">
        <v>47</v>
      </c>
      <c r="I212" s="13">
        <v>4.576464545539756E-2</v>
      </c>
      <c r="J212" s="13">
        <v>1.3948968069749748E-3</v>
      </c>
      <c r="K212" s="13">
        <v>32.808624427669656</v>
      </c>
      <c r="L212" s="13">
        <v>1.5099599548145318E-81</v>
      </c>
      <c r="M212" s="13">
        <v>4.301371196239745E-2</v>
      </c>
      <c r="N212" s="13">
        <v>4.851557894839767E-2</v>
      </c>
      <c r="O212" s="13">
        <v>4.301371196239745E-2</v>
      </c>
      <c r="P212" s="13">
        <v>4.851557894839767E-2</v>
      </c>
    </row>
    <row r="213" spans="8:16" x14ac:dyDescent="0.3">
      <c r="H213" s="13" t="s">
        <v>48</v>
      </c>
      <c r="I213" s="13">
        <v>0.18853001691820431</v>
      </c>
      <c r="J213" s="13">
        <v>8.6112339673019428E-3</v>
      </c>
      <c r="K213" s="13">
        <v>21.893496058065441</v>
      </c>
      <c r="L213" s="13">
        <v>1.5053389205757539E-54</v>
      </c>
      <c r="M213" s="13">
        <v>0.1715474474419118</v>
      </c>
      <c r="N213" s="13">
        <v>0.20551258639449682</v>
      </c>
      <c r="O213" s="13">
        <v>0.1715474474419118</v>
      </c>
      <c r="P213" s="13">
        <v>0.20551258639449682</v>
      </c>
    </row>
    <row r="214" spans="8:16" ht="15" thickBot="1" x14ac:dyDescent="0.35">
      <c r="H214" s="14" t="s">
        <v>49</v>
      </c>
      <c r="I214" s="14">
        <v>-1.037493042476263E-3</v>
      </c>
      <c r="J214" s="14">
        <v>5.8710096470863671E-3</v>
      </c>
      <c r="K214" s="14">
        <v>-0.17671458656027664</v>
      </c>
      <c r="L214" s="14">
        <v>0.85991505008057501</v>
      </c>
      <c r="M214" s="14">
        <v>-1.2615953180270797E-2</v>
      </c>
      <c r="N214" s="14">
        <v>1.0540967095318272E-2</v>
      </c>
      <c r="O214" s="14">
        <v>-1.2615953180270797E-2</v>
      </c>
      <c r="P214" s="14">
        <v>1.0540967095318272E-2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BDAC5-273D-45F2-9487-B487354BFD7E}">
  <dimension ref="A1:B21"/>
  <sheetViews>
    <sheetView workbookViewId="0">
      <selection sqref="A1:B21"/>
    </sheetView>
  </sheetViews>
  <sheetFormatPr defaultRowHeight="14.4" x14ac:dyDescent="0.3"/>
  <sheetData>
    <row r="1" spans="1:2" x14ac:dyDescent="0.3">
      <c r="A1" s="17" t="s">
        <v>52</v>
      </c>
      <c r="B1" s="17" t="s">
        <v>50</v>
      </c>
    </row>
    <row r="2" spans="1:2" x14ac:dyDescent="0.3">
      <c r="A2" s="18">
        <v>44562</v>
      </c>
      <c r="B2">
        <v>4800</v>
      </c>
    </row>
    <row r="3" spans="1:2" x14ac:dyDescent="0.3">
      <c r="A3" s="18">
        <v>44593</v>
      </c>
      <c r="B3">
        <v>4100</v>
      </c>
    </row>
    <row r="4" spans="1:2" x14ac:dyDescent="0.3">
      <c r="A4" s="18">
        <v>44621</v>
      </c>
      <c r="B4">
        <v>6000</v>
      </c>
    </row>
    <row r="5" spans="1:2" x14ac:dyDescent="0.3">
      <c r="A5" s="18">
        <v>44652</v>
      </c>
      <c r="B5">
        <v>6500</v>
      </c>
    </row>
    <row r="6" spans="1:2" x14ac:dyDescent="0.3">
      <c r="A6" s="18">
        <v>44682</v>
      </c>
      <c r="B6">
        <v>5800</v>
      </c>
    </row>
    <row r="7" spans="1:2" x14ac:dyDescent="0.3">
      <c r="A7" s="18">
        <v>44713</v>
      </c>
      <c r="B7">
        <v>5200</v>
      </c>
    </row>
    <row r="8" spans="1:2" x14ac:dyDescent="0.3">
      <c r="A8" s="18">
        <v>44743</v>
      </c>
      <c r="B8">
        <v>6800</v>
      </c>
    </row>
    <row r="9" spans="1:2" x14ac:dyDescent="0.3">
      <c r="A9" s="18">
        <v>44774</v>
      </c>
      <c r="B9">
        <v>7400</v>
      </c>
    </row>
    <row r="10" spans="1:2" x14ac:dyDescent="0.3">
      <c r="A10" s="18">
        <v>44805</v>
      </c>
      <c r="B10">
        <v>6000</v>
      </c>
    </row>
    <row r="11" spans="1:2" x14ac:dyDescent="0.3">
      <c r="A11" s="18">
        <v>44835</v>
      </c>
      <c r="B11">
        <v>5600</v>
      </c>
    </row>
    <row r="12" spans="1:2" x14ac:dyDescent="0.3">
      <c r="A12" s="18">
        <v>44866</v>
      </c>
      <c r="B12">
        <v>7500</v>
      </c>
    </row>
    <row r="13" spans="1:2" x14ac:dyDescent="0.3">
      <c r="A13" s="18">
        <v>44896</v>
      </c>
      <c r="B13">
        <v>7800</v>
      </c>
    </row>
    <row r="14" spans="1:2" x14ac:dyDescent="0.3">
      <c r="A14" s="18">
        <v>44927</v>
      </c>
      <c r="B14">
        <v>6300</v>
      </c>
    </row>
    <row r="15" spans="1:2" x14ac:dyDescent="0.3">
      <c r="A15" s="18">
        <v>44958</v>
      </c>
      <c r="B15">
        <v>5200</v>
      </c>
    </row>
    <row r="16" spans="1:2" x14ac:dyDescent="0.3">
      <c r="A16" s="18">
        <v>44986</v>
      </c>
      <c r="B16">
        <v>6600</v>
      </c>
    </row>
    <row r="17" spans="1:2" x14ac:dyDescent="0.3">
      <c r="A17" s="18">
        <v>45017</v>
      </c>
      <c r="B17">
        <v>6850</v>
      </c>
    </row>
    <row r="18" spans="1:2" x14ac:dyDescent="0.3">
      <c r="A18" s="18">
        <v>45047</v>
      </c>
      <c r="B18">
        <v>6500</v>
      </c>
    </row>
    <row r="19" spans="1:2" x14ac:dyDescent="0.3">
      <c r="A19" s="18">
        <v>45078</v>
      </c>
      <c r="B19">
        <v>5050</v>
      </c>
    </row>
    <row r="20" spans="1:2" x14ac:dyDescent="0.3">
      <c r="A20" s="18">
        <v>45108</v>
      </c>
      <c r="B20">
        <v>5800</v>
      </c>
    </row>
    <row r="21" spans="1:2" x14ac:dyDescent="0.3">
      <c r="A21" s="18">
        <v>45139</v>
      </c>
      <c r="B21">
        <v>6300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2938F-8A61-4ED9-95FB-3D4959975E64}">
  <dimension ref="A1:C14"/>
  <sheetViews>
    <sheetView workbookViewId="0">
      <selection activeCell="B4" sqref="B4"/>
    </sheetView>
  </sheetViews>
  <sheetFormatPr defaultRowHeight="14.4" x14ac:dyDescent="0.3"/>
  <cols>
    <col min="1" max="1" width="12.44140625" bestFit="1" customWidth="1"/>
    <col min="2" max="2" width="11.109375" bestFit="1" customWidth="1"/>
  </cols>
  <sheetData>
    <row r="1" spans="1:3" x14ac:dyDescent="0.3">
      <c r="A1" t="s">
        <v>53</v>
      </c>
      <c r="B1" t="s">
        <v>54</v>
      </c>
    </row>
    <row r="2" spans="1:3" x14ac:dyDescent="0.3">
      <c r="A2" s="19">
        <v>3</v>
      </c>
      <c r="B2">
        <v>80</v>
      </c>
    </row>
    <row r="3" spans="1:3" x14ac:dyDescent="0.3">
      <c r="A3" s="19">
        <v>4</v>
      </c>
      <c r="B3">
        <v>96</v>
      </c>
    </row>
    <row r="4" spans="1:3" x14ac:dyDescent="0.3">
      <c r="A4" s="19">
        <v>2</v>
      </c>
      <c r="B4">
        <v>65</v>
      </c>
    </row>
    <row r="5" spans="1:3" x14ac:dyDescent="0.3">
      <c r="A5" s="19">
        <v>1.5</v>
      </c>
      <c r="B5">
        <v>49</v>
      </c>
    </row>
    <row r="6" spans="1:3" x14ac:dyDescent="0.3">
      <c r="A6" s="19">
        <v>2.5</v>
      </c>
      <c r="B6">
        <v>72</v>
      </c>
    </row>
    <row r="7" spans="1:3" x14ac:dyDescent="0.3">
      <c r="A7" s="19">
        <v>3</v>
      </c>
      <c r="B7">
        <v>84</v>
      </c>
    </row>
    <row r="8" spans="1:3" x14ac:dyDescent="0.3">
      <c r="A8" s="19">
        <v>3.5</v>
      </c>
      <c r="B8">
        <v>88</v>
      </c>
    </row>
    <row r="11" spans="1:3" ht="15" thickBot="1" x14ac:dyDescent="0.35"/>
    <row r="12" spans="1:3" x14ac:dyDescent="0.3">
      <c r="A12" s="15"/>
      <c r="B12" s="15" t="s">
        <v>53</v>
      </c>
      <c r="C12" s="15" t="s">
        <v>54</v>
      </c>
    </row>
    <row r="13" spans="1:3" x14ac:dyDescent="0.3">
      <c r="A13" s="13" t="s">
        <v>53</v>
      </c>
      <c r="B13" s="13">
        <v>1</v>
      </c>
      <c r="C13" s="13"/>
    </row>
    <row r="14" spans="1:3" ht="15" thickBot="1" x14ac:dyDescent="0.35">
      <c r="A14" s="14" t="s">
        <v>54</v>
      </c>
      <c r="B14" s="14">
        <v>0.98414793069740647</v>
      </c>
      <c r="C14" s="14">
        <v>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18F76-3C9D-40C4-B833-49E0590AB461}">
  <dimension ref="A1:C12"/>
  <sheetViews>
    <sheetView workbookViewId="0">
      <selection activeCell="F21" sqref="F21"/>
    </sheetView>
  </sheetViews>
  <sheetFormatPr defaultRowHeight="14.4" x14ac:dyDescent="0.3"/>
  <cols>
    <col min="1" max="1" width="11.5546875" bestFit="1" customWidth="1"/>
    <col min="2" max="2" width="12.6640625" bestFit="1" customWidth="1"/>
  </cols>
  <sheetData>
    <row r="1" spans="1:3" x14ac:dyDescent="0.3">
      <c r="A1" t="s">
        <v>55</v>
      </c>
      <c r="B1" t="s">
        <v>56</v>
      </c>
    </row>
    <row r="2" spans="1:3" x14ac:dyDescent="0.3">
      <c r="A2">
        <v>10</v>
      </c>
      <c r="B2">
        <v>85</v>
      </c>
    </row>
    <row r="3" spans="1:3" x14ac:dyDescent="0.3">
      <c r="A3">
        <v>15</v>
      </c>
      <c r="B3">
        <v>70</v>
      </c>
    </row>
    <row r="4" spans="1:3" x14ac:dyDescent="0.3">
      <c r="A4">
        <v>20</v>
      </c>
      <c r="B4">
        <v>55</v>
      </c>
    </row>
    <row r="5" spans="1:3" x14ac:dyDescent="0.3">
      <c r="A5">
        <v>40</v>
      </c>
      <c r="B5">
        <v>40</v>
      </c>
    </row>
    <row r="6" spans="1:3" x14ac:dyDescent="0.3">
      <c r="A6">
        <v>0</v>
      </c>
      <c r="B6">
        <v>100</v>
      </c>
    </row>
    <row r="9" spans="1:3" ht="15" thickBot="1" x14ac:dyDescent="0.35"/>
    <row r="10" spans="1:3" x14ac:dyDescent="0.3">
      <c r="A10" s="15"/>
      <c r="B10" s="15" t="s">
        <v>55</v>
      </c>
      <c r="C10" s="15" t="s">
        <v>56</v>
      </c>
    </row>
    <row r="11" spans="1:3" x14ac:dyDescent="0.3">
      <c r="A11" s="13" t="s">
        <v>55</v>
      </c>
      <c r="B11" s="13">
        <v>1</v>
      </c>
      <c r="C11" s="13"/>
    </row>
    <row r="12" spans="1:3" ht="15" thickBot="1" x14ac:dyDescent="0.35">
      <c r="A12" s="14" t="s">
        <v>56</v>
      </c>
      <c r="B12" s="14">
        <v>-0.95940322360024688</v>
      </c>
      <c r="C12" s="14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MCD&amp;MOV</vt:lpstr>
      <vt:lpstr>Histogram</vt:lpstr>
      <vt:lpstr>Scatter Plot</vt:lpstr>
      <vt:lpstr>Regression</vt:lpstr>
      <vt:lpstr>Multiple Regression</vt:lpstr>
      <vt:lpstr>Time series analysis</vt:lpstr>
      <vt:lpstr>+ve correlation</vt:lpstr>
      <vt:lpstr>-ve correlation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Mahajan</dc:creator>
  <cp:lastModifiedBy>Rahul Mahajan</cp:lastModifiedBy>
  <dcterms:created xsi:type="dcterms:W3CDTF">2025-09-20T06:40:45Z</dcterms:created>
  <dcterms:modified xsi:type="dcterms:W3CDTF">2025-09-20T07:56:05Z</dcterms:modified>
</cp:coreProperties>
</file>