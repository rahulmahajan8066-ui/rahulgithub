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hul\OneDrive\Desktop\"/>
    </mc:Choice>
  </mc:AlternateContent>
  <xr:revisionPtr revIDLastSave="0" documentId="13_ncr:1_{C0256309-AE99-4E28-BEFC-5B6712270226}" xr6:coauthVersionLast="47" xr6:coauthVersionMax="47" xr10:uidLastSave="{00000000-0000-0000-0000-000000000000}"/>
  <bookViews>
    <workbookView xWindow="-96" yWindow="0" windowWidth="11712" windowHeight="1233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_xlnm._FilterDatabase" localSheetId="0" hidden="1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I5" i="2"/>
  <c r="D3" i="2"/>
  <c r="D4" i="2"/>
  <c r="D5" i="2"/>
  <c r="D2" i="2"/>
  <c r="F2" i="2" s="1"/>
  <c r="Q5" i="1"/>
  <c r="R5" i="1" s="1"/>
  <c r="S2" i="1"/>
  <c r="W1" i="1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2" i="1"/>
  <c r="K9" i="1"/>
  <c r="K8" i="1"/>
  <c r="K7" i="1"/>
  <c r="K6" i="1"/>
  <c r="K5" i="1"/>
  <c r="K4" i="1"/>
  <c r="K3" i="1"/>
  <c r="K2" i="1"/>
  <c r="I6" i="1"/>
  <c r="I5" i="1"/>
  <c r="I4" i="1"/>
  <c r="I3" i="1"/>
  <c r="I2" i="1"/>
  <c r="G2" i="2" l="1"/>
  <c r="H2" i="2"/>
  <c r="U2" i="1"/>
  <c r="R9" i="1"/>
  <c r="R7" i="1"/>
  <c r="R8" i="1"/>
  <c r="R6" i="1"/>
</calcChain>
</file>

<file path=xl/sharedStrings.xml><?xml version="1.0" encoding="utf-8"?>
<sst xmlns="http://schemas.openxmlformats.org/spreadsheetml/2006/main" count="117" uniqueCount="56">
  <si>
    <t>Last Name</t>
  </si>
  <si>
    <t>Sales</t>
  </si>
  <si>
    <t>Country</t>
  </si>
  <si>
    <t>Smith</t>
  </si>
  <si>
    <t>UK</t>
  </si>
  <si>
    <t>Qtr 3</t>
  </si>
  <si>
    <t>Quarter</t>
  </si>
  <si>
    <t>Johnson</t>
  </si>
  <si>
    <t>Williams</t>
  </si>
  <si>
    <t>Jones</t>
  </si>
  <si>
    <t>Brown</t>
  </si>
  <si>
    <t>USA</t>
  </si>
  <si>
    <t>Qtr 4</t>
  </si>
  <si>
    <t>Qtr 2</t>
  </si>
  <si>
    <t>Qtr 1</t>
  </si>
  <si>
    <t>Sample1</t>
  </si>
  <si>
    <t>Sample2</t>
  </si>
  <si>
    <t>Find the UK Value</t>
  </si>
  <si>
    <t>Blank data</t>
  </si>
  <si>
    <t>Count without blank</t>
  </si>
  <si>
    <t>Count</t>
  </si>
  <si>
    <t>Sum</t>
  </si>
  <si>
    <t xml:space="preserve">IF </t>
  </si>
  <si>
    <t>AND</t>
  </si>
  <si>
    <t>Datamites</t>
  </si>
  <si>
    <t>Pune</t>
  </si>
  <si>
    <t>Concat</t>
  </si>
  <si>
    <t>Find</t>
  </si>
  <si>
    <t>Len</t>
  </si>
  <si>
    <t>Time</t>
  </si>
  <si>
    <t>Day</t>
  </si>
  <si>
    <t>Tuesday</t>
  </si>
  <si>
    <t>Sunday</t>
  </si>
  <si>
    <t>Thursday</t>
  </si>
  <si>
    <t>Friday</t>
  </si>
  <si>
    <t>Saturday</t>
  </si>
  <si>
    <t>Monday</t>
  </si>
  <si>
    <t>Product</t>
  </si>
  <si>
    <t>Quantity</t>
  </si>
  <si>
    <t>Price</t>
  </si>
  <si>
    <t>Amount</t>
  </si>
  <si>
    <t>bread</t>
  </si>
  <si>
    <t>butter</t>
  </si>
  <si>
    <t>cheese</t>
  </si>
  <si>
    <t>ham</t>
  </si>
  <si>
    <t>ID</t>
  </si>
  <si>
    <t>Brand</t>
  </si>
  <si>
    <t>Dell</t>
  </si>
  <si>
    <t>Computer</t>
  </si>
  <si>
    <t>HP</t>
  </si>
  <si>
    <t>Logitech</t>
  </si>
  <si>
    <t>Keyboard</t>
  </si>
  <si>
    <t>Mouse</t>
  </si>
  <si>
    <t>Printer</t>
  </si>
  <si>
    <t xml:space="preserve">ID 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</si>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</sst>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4" fontId="0" fillId="0" borderId="0" xfId="0" applyNumberFormat="1"/>
    <xf numFmtId="0" fontId="2" fillId="0" borderId="1" xfId="0" applyFont="1" applyBorder="1"/>
    <xf numFmtId="0" fontId="0" fillId="0" borderId="1" xfId="0" applyBorder="1"/>
    <xf numFmtId="44" fontId="0" fillId="0" borderId="1" xfId="1" applyFont="1" applyBorder="1"/>
    <xf numFmtId="22" fontId="0" fillId="0" borderId="0" xfId="0" applyNumberFormat="1"/>
    <xf numFmtId="0" fontId="2" fillId="0" borderId="2" xfId="0" applyFont="1" applyBorder="1"/>
  </cellXfs>
  <cellStyles count="2">
    <cellStyle name="Currency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093785f9e679de4/Desktop/sale.xlsx" TargetMode="External"/><Relationship Id="rId1" Type="http://schemas.openxmlformats.org/officeDocument/2006/relationships/externalLinkPath" Target="s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"/>
    </sheetNames>
    <sheetDataSet>
      <sheetData sheetId="0">
        <row r="23">
          <cell r="S23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workbookViewId="0">
      <pane xSplit="6" topLeftCell="G1" activePane="topRight" state="frozen"/>
      <selection pane="topRight" activeCell="F5" sqref="F5"/>
    </sheetView>
  </sheetViews>
  <sheetFormatPr defaultRowHeight="14.4" x14ac:dyDescent="0.3"/>
  <cols>
    <col min="1" max="1" width="9.77734375" bestFit="1" customWidth="1"/>
    <col min="2" max="2" width="12" customWidth="1"/>
    <col min="9" max="9" width="12.109375" bestFit="1" customWidth="1"/>
    <col min="10" max="10" width="17.6640625" bestFit="1" customWidth="1"/>
    <col min="11" max="11" width="12.109375" bestFit="1" customWidth="1"/>
    <col min="12" max="12" width="0" hidden="1" customWidth="1"/>
    <col min="17" max="17" width="15.6640625" bestFit="1" customWidth="1"/>
    <col min="19" max="19" width="14.109375" bestFit="1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3" t="s">
        <v>6</v>
      </c>
      <c r="E1" s="3" t="s">
        <v>15</v>
      </c>
      <c r="F1" s="3" t="s">
        <v>16</v>
      </c>
      <c r="G1" s="7" t="s">
        <v>30</v>
      </c>
      <c r="I1" s="1" t="s">
        <v>20</v>
      </c>
      <c r="K1" s="1" t="s">
        <v>21</v>
      </c>
      <c r="M1" s="1" t="s">
        <v>22</v>
      </c>
      <c r="N1" s="1" t="s">
        <v>23</v>
      </c>
      <c r="Q1" s="1" t="s">
        <v>26</v>
      </c>
      <c r="U1" s="1" t="s">
        <v>27</v>
      </c>
      <c r="V1" s="1" t="s">
        <v>28</v>
      </c>
      <c r="W1">
        <f>LEN(S2)</f>
        <v>14</v>
      </c>
    </row>
    <row r="2" spans="1:23" x14ac:dyDescent="0.3">
      <c r="A2" s="4" t="s">
        <v>9</v>
      </c>
      <c r="B2" s="5">
        <v>9213</v>
      </c>
      <c r="C2" s="4" t="s">
        <v>11</v>
      </c>
      <c r="D2" s="4" t="s">
        <v>12</v>
      </c>
      <c r="E2" s="4"/>
      <c r="F2" s="4">
        <v>90</v>
      </c>
      <c r="G2" t="s">
        <v>32</v>
      </c>
      <c r="I2">
        <f>COUNT(F2:F15)</f>
        <v>14</v>
      </c>
      <c r="K2" s="2">
        <f>SUM(B2:B15)</f>
        <v>152924</v>
      </c>
      <c r="M2" t="str">
        <f>IF(B2&gt;=10000,"A","B")</f>
        <v>B</v>
      </c>
      <c r="N2" t="b">
        <f>AND(C2="USA",B2&lt;10000)</f>
        <v>1</v>
      </c>
      <c r="O2" t="str">
        <f>IF(AND(C2="USA",B2&lt;10000),"NA","A")</f>
        <v>NA</v>
      </c>
      <c r="Q2" t="s">
        <v>24</v>
      </c>
      <c r="R2" t="s">
        <v>25</v>
      </c>
      <c r="S2" t="str">
        <f>_xlfn.CONCAT(Q2&amp;"-"&amp;R2)</f>
        <v>Datamites-Pune</v>
      </c>
      <c r="U2">
        <f>FIND("mites",S2)</f>
        <v>5</v>
      </c>
    </row>
    <row r="3" spans="1:23" x14ac:dyDescent="0.3">
      <c r="A3" s="4" t="s">
        <v>10</v>
      </c>
      <c r="B3" s="5">
        <v>3255</v>
      </c>
      <c r="C3" s="4" t="s">
        <v>11</v>
      </c>
      <c r="D3" s="4" t="s">
        <v>13</v>
      </c>
      <c r="E3" s="4">
        <v>34</v>
      </c>
      <c r="F3" s="4">
        <v>70</v>
      </c>
      <c r="G3" t="s">
        <v>36</v>
      </c>
      <c r="I3">
        <f>COUNTA(E2:E15)</f>
        <v>11</v>
      </c>
      <c r="J3" t="s">
        <v>19</v>
      </c>
      <c r="K3">
        <f>SUMIF(C2:C15,"UK",B2:B15)</f>
        <v>75909</v>
      </c>
      <c r="M3" t="str">
        <f t="shared" ref="M3:M15" si="0">IF(B3&gt;=10000,"A","B")</f>
        <v>B</v>
      </c>
      <c r="N3" t="b">
        <f t="shared" ref="N3:N15" si="1">AND(C3="USA",B3&lt;10000)</f>
        <v>1</v>
      </c>
      <c r="O3" t="str">
        <f t="shared" ref="O3:O15" si="2">IF(AND(C3="USA",B3&lt;10000),"NA","A")</f>
        <v>NA</v>
      </c>
    </row>
    <row r="4" spans="1:23" x14ac:dyDescent="0.3">
      <c r="A4" s="4" t="s">
        <v>7</v>
      </c>
      <c r="B4" s="5">
        <v>14808</v>
      </c>
      <c r="C4" s="4" t="s">
        <v>11</v>
      </c>
      <c r="D4" s="4" t="s">
        <v>12</v>
      </c>
      <c r="E4" s="4">
        <v>23</v>
      </c>
      <c r="F4" s="4">
        <v>20</v>
      </c>
      <c r="G4" t="s">
        <v>31</v>
      </c>
      <c r="I4">
        <f>COUNTBLANK(E2:E15)</f>
        <v>3</v>
      </c>
      <c r="J4" t="s">
        <v>18</v>
      </c>
      <c r="K4">
        <f>SUMIFS(B2:B15,C2:C15,"USA",D2:D15,"Qtr 3")</f>
        <v>35176</v>
      </c>
      <c r="M4" t="str">
        <f t="shared" si="0"/>
        <v>A</v>
      </c>
      <c r="N4" t="b">
        <f t="shared" si="1"/>
        <v>0</v>
      </c>
      <c r="O4" t="str">
        <f t="shared" si="2"/>
        <v>A</v>
      </c>
    </row>
    <row r="5" spans="1:23" x14ac:dyDescent="0.3">
      <c r="A5" s="4" t="s">
        <v>8</v>
      </c>
      <c r="B5" s="5">
        <v>19302</v>
      </c>
      <c r="C5" s="4" t="s">
        <v>4</v>
      </c>
      <c r="D5" s="4" t="s">
        <v>12</v>
      </c>
      <c r="E5" s="4">
        <v>21</v>
      </c>
      <c r="F5" s="4">
        <v>50</v>
      </c>
      <c r="G5" t="s">
        <v>31</v>
      </c>
      <c r="I5">
        <f>COUNTIF(C2:C15,"UK")</f>
        <v>6</v>
      </c>
      <c r="J5" t="s">
        <v>17</v>
      </c>
      <c r="K5">
        <f>SUMPRODUCT(E2:E15,F2:F15)</f>
        <v>26350</v>
      </c>
      <c r="M5" t="str">
        <f t="shared" si="0"/>
        <v>A</v>
      </c>
      <c r="N5" t="b">
        <f t="shared" si="1"/>
        <v>0</v>
      </c>
      <c r="O5" t="str">
        <f t="shared" si="2"/>
        <v>A</v>
      </c>
      <c r="P5" s="1" t="s">
        <v>29</v>
      </c>
      <c r="Q5" s="6">
        <f ca="1">NOW()</f>
        <v>45942.807558680557</v>
      </c>
      <c r="R5">
        <f ca="1">YEAR(Q5)</f>
        <v>2025</v>
      </c>
    </row>
    <row r="6" spans="1:23" x14ac:dyDescent="0.3">
      <c r="A6" s="4" t="s">
        <v>8</v>
      </c>
      <c r="B6" s="5">
        <v>10644</v>
      </c>
      <c r="C6" s="4" t="s">
        <v>4</v>
      </c>
      <c r="D6" s="4" t="s">
        <v>13</v>
      </c>
      <c r="E6" s="4">
        <v>7</v>
      </c>
      <c r="F6" s="4">
        <v>30</v>
      </c>
      <c r="G6" t="s">
        <v>31</v>
      </c>
      <c r="I6">
        <f>COUNTIFS(B2:B15,"&gt;=10000",C2:C15,"USA")</f>
        <v>3</v>
      </c>
      <c r="K6">
        <f>SUMSQ(F2:F15)</f>
        <v>47500</v>
      </c>
      <c r="M6" t="str">
        <f t="shared" si="0"/>
        <v>A</v>
      </c>
      <c r="N6" t="b">
        <f t="shared" si="1"/>
        <v>0</v>
      </c>
      <c r="O6" t="str">
        <f t="shared" si="2"/>
        <v>A</v>
      </c>
      <c r="R6">
        <f ca="1">MONTH(Q5)</f>
        <v>10</v>
      </c>
    </row>
    <row r="7" spans="1:23" x14ac:dyDescent="0.3">
      <c r="A7" s="4" t="s">
        <v>8</v>
      </c>
      <c r="B7" s="5">
        <v>12438</v>
      </c>
      <c r="C7" s="4" t="s">
        <v>4</v>
      </c>
      <c r="D7" s="4" t="s">
        <v>14</v>
      </c>
      <c r="E7" s="4">
        <v>90</v>
      </c>
      <c r="F7" s="4">
        <v>60</v>
      </c>
      <c r="G7" t="s">
        <v>31</v>
      </c>
      <c r="K7">
        <f>SUMX2MY2(E2:E15,F2:F15)</f>
        <v>-7641</v>
      </c>
      <c r="M7" t="str">
        <f t="shared" si="0"/>
        <v>A</v>
      </c>
      <c r="N7" t="b">
        <f t="shared" si="1"/>
        <v>0</v>
      </c>
      <c r="O7" t="str">
        <f t="shared" si="2"/>
        <v>A</v>
      </c>
      <c r="R7">
        <f ca="1">DAY(Q5)</f>
        <v>12</v>
      </c>
    </row>
    <row r="8" spans="1:23" x14ac:dyDescent="0.3">
      <c r="A8" s="4" t="s">
        <v>10</v>
      </c>
      <c r="B8" s="5">
        <v>4865</v>
      </c>
      <c r="C8" s="4" t="s">
        <v>11</v>
      </c>
      <c r="D8" s="4" t="s">
        <v>12</v>
      </c>
      <c r="E8" s="4"/>
      <c r="F8" s="4">
        <v>50</v>
      </c>
      <c r="G8" t="s">
        <v>33</v>
      </c>
      <c r="I8" s="2"/>
      <c r="K8">
        <f>SUMX2PY2(E2:E15,F2:F15)</f>
        <v>58959</v>
      </c>
      <c r="M8" t="str">
        <f t="shared" si="0"/>
        <v>B</v>
      </c>
      <c r="N8" t="b">
        <f t="shared" si="1"/>
        <v>1</v>
      </c>
      <c r="O8" t="str">
        <f t="shared" si="2"/>
        <v>NA</v>
      </c>
      <c r="R8">
        <f ca="1">MINUTE(Q5)</f>
        <v>22</v>
      </c>
    </row>
    <row r="9" spans="1:23" x14ac:dyDescent="0.3">
      <c r="A9" s="4" t="s">
        <v>9</v>
      </c>
      <c r="B9" s="5">
        <v>1390</v>
      </c>
      <c r="C9" s="4" t="s">
        <v>11</v>
      </c>
      <c r="D9" s="4" t="s">
        <v>5</v>
      </c>
      <c r="E9" s="4">
        <v>56</v>
      </c>
      <c r="F9" s="4">
        <v>40</v>
      </c>
      <c r="G9" t="s">
        <v>33</v>
      </c>
      <c r="K9">
        <f>SUMXMY2(E2:E15,F2:F15)</f>
        <v>6259</v>
      </c>
      <c r="M9" t="str">
        <f t="shared" si="0"/>
        <v>B</v>
      </c>
      <c r="N9" t="b">
        <f t="shared" si="1"/>
        <v>1</v>
      </c>
      <c r="O9" t="str">
        <f t="shared" si="2"/>
        <v>NA</v>
      </c>
      <c r="R9">
        <f ca="1">SECOND(Q5)</f>
        <v>53</v>
      </c>
    </row>
    <row r="10" spans="1:23" x14ac:dyDescent="0.3">
      <c r="A10" s="4" t="s">
        <v>7</v>
      </c>
      <c r="B10" s="5">
        <v>9339</v>
      </c>
      <c r="C10" s="4" t="s">
        <v>4</v>
      </c>
      <c r="D10" s="4" t="s">
        <v>13</v>
      </c>
      <c r="E10" s="4">
        <v>65</v>
      </c>
      <c r="F10" s="4">
        <v>70</v>
      </c>
      <c r="G10" t="s">
        <v>34</v>
      </c>
      <c r="M10" t="str">
        <f t="shared" si="0"/>
        <v>B</v>
      </c>
      <c r="N10" t="b">
        <f t="shared" si="1"/>
        <v>0</v>
      </c>
      <c r="O10" t="str">
        <f t="shared" si="2"/>
        <v>A</v>
      </c>
    </row>
    <row r="11" spans="1:23" x14ac:dyDescent="0.3">
      <c r="A11" s="4" t="s">
        <v>3</v>
      </c>
      <c r="B11" s="5">
        <v>18919</v>
      </c>
      <c r="C11" s="4" t="s">
        <v>11</v>
      </c>
      <c r="D11" s="4" t="s">
        <v>5</v>
      </c>
      <c r="E11" s="4">
        <v>67</v>
      </c>
      <c r="F11" s="4">
        <v>80</v>
      </c>
      <c r="G11" t="s">
        <v>34</v>
      </c>
      <c r="M11" t="str">
        <f t="shared" si="0"/>
        <v>A</v>
      </c>
      <c r="N11" t="b">
        <f t="shared" si="1"/>
        <v>0</v>
      </c>
      <c r="O11" t="str">
        <f t="shared" si="2"/>
        <v>A</v>
      </c>
    </row>
    <row r="12" spans="1:23" x14ac:dyDescent="0.3">
      <c r="A12" s="4" t="s">
        <v>3</v>
      </c>
      <c r="B12" s="5">
        <v>9698</v>
      </c>
      <c r="C12" s="4" t="s">
        <v>11</v>
      </c>
      <c r="D12" s="4" t="s">
        <v>14</v>
      </c>
      <c r="E12" s="4">
        <v>23</v>
      </c>
      <c r="F12" s="4">
        <v>40</v>
      </c>
      <c r="G12" t="s">
        <v>34</v>
      </c>
      <c r="M12" t="str">
        <f t="shared" si="0"/>
        <v>B</v>
      </c>
      <c r="N12" t="b">
        <f t="shared" si="1"/>
        <v>1</v>
      </c>
      <c r="O12" t="str">
        <f t="shared" si="2"/>
        <v>NA</v>
      </c>
    </row>
    <row r="13" spans="1:23" x14ac:dyDescent="0.3">
      <c r="A13" s="4" t="s">
        <v>8</v>
      </c>
      <c r="B13" s="5">
        <v>14867</v>
      </c>
      <c r="C13" s="4" t="s">
        <v>11</v>
      </c>
      <c r="D13" s="4" t="s">
        <v>5</v>
      </c>
      <c r="E13" s="4"/>
      <c r="F13" s="4">
        <v>60</v>
      </c>
      <c r="G13" t="s">
        <v>34</v>
      </c>
      <c r="M13" t="str">
        <f t="shared" si="0"/>
        <v>A</v>
      </c>
      <c r="N13" t="b">
        <f t="shared" si="1"/>
        <v>0</v>
      </c>
      <c r="O13" t="str">
        <f t="shared" si="2"/>
        <v>A</v>
      </c>
    </row>
    <row r="14" spans="1:23" x14ac:dyDescent="0.3">
      <c r="A14" s="4" t="s">
        <v>9</v>
      </c>
      <c r="B14" s="5">
        <v>7433</v>
      </c>
      <c r="C14" s="4" t="s">
        <v>4</v>
      </c>
      <c r="D14" s="4" t="s">
        <v>14</v>
      </c>
      <c r="E14" s="4">
        <v>43</v>
      </c>
      <c r="F14" s="4">
        <v>80</v>
      </c>
      <c r="G14" t="s">
        <v>35</v>
      </c>
      <c r="M14" t="str">
        <f t="shared" si="0"/>
        <v>B</v>
      </c>
      <c r="N14" t="b">
        <f t="shared" si="1"/>
        <v>0</v>
      </c>
      <c r="O14" t="str">
        <f t="shared" si="2"/>
        <v>A</v>
      </c>
    </row>
    <row r="15" spans="1:23" x14ac:dyDescent="0.3">
      <c r="A15" s="4" t="s">
        <v>3</v>
      </c>
      <c r="B15" s="5">
        <v>16753</v>
      </c>
      <c r="C15" s="4" t="s">
        <v>4</v>
      </c>
      <c r="D15" s="4" t="s">
        <v>5</v>
      </c>
      <c r="E15" s="4">
        <v>34</v>
      </c>
      <c r="F15" s="4">
        <v>10</v>
      </c>
      <c r="G15" t="s">
        <v>35</v>
      </c>
      <c r="M15" t="str">
        <f t="shared" si="0"/>
        <v>A</v>
      </c>
      <c r="N15" t="b">
        <f t="shared" si="1"/>
        <v>0</v>
      </c>
      <c r="O15" t="str">
        <f t="shared" si="2"/>
        <v>A</v>
      </c>
    </row>
  </sheetData>
  <sortState xmlns:xlrd2="http://schemas.microsoft.com/office/spreadsheetml/2017/richdata2" ref="A2:G15">
    <sortCondition ref="G2:G15" customList="Sunday,Monday,Tuesday,Wednesday,Thursday,Friday,Saturday"/>
  </sortState>
  <conditionalFormatting sqref="A1">
    <cfRule type="cellIs" dxfId="5" priority="6" operator="greaterThan">
      <formula>1300</formula>
    </cfRule>
  </conditionalFormatting>
  <conditionalFormatting sqref="B1:B1048576">
    <cfRule type="cellIs" dxfId="4" priority="5" operator="between">
      <formula>5868</formula>
      <formula>14824</formula>
    </cfRule>
  </conditionalFormatting>
  <conditionalFormatting sqref="F1">
    <cfRule type="aboveAverage" dxfId="3" priority="2" aboveAverage="0"/>
    <cfRule type="aboveAverage" dxfId="2" priority="3"/>
  </conditionalFormatting>
  <conditionalFormatting sqref="F1:F1048576">
    <cfRule type="aboveAverage" dxfId="1" priority="1"/>
  </conditionalFormatting>
  <conditionalFormatting sqref="F2">
    <cfRule type="aboveAverage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DC40-05B7-4995-B6FC-4A9505227909}">
  <dimension ref="A1:K5"/>
  <sheetViews>
    <sheetView workbookViewId="0">
      <selection activeCell="J17" sqref="J17"/>
    </sheetView>
  </sheetViews>
  <sheetFormatPr defaultRowHeight="14.4" x14ac:dyDescent="0.3"/>
  <sheetData>
    <row r="1" spans="1:11" x14ac:dyDescent="0.3">
      <c r="A1" t="s">
        <v>37</v>
      </c>
      <c r="B1" t="s">
        <v>38</v>
      </c>
      <c r="C1" t="s">
        <v>39</v>
      </c>
      <c r="D1" t="s">
        <v>40</v>
      </c>
    </row>
    <row r="2" spans="1:11" x14ac:dyDescent="0.3">
      <c r="A2" t="s">
        <v>41</v>
      </c>
      <c r="B2">
        <v>2</v>
      </c>
      <c r="C2">
        <v>1.5</v>
      </c>
      <c r="D2">
        <f>B2*C2+10</f>
        <v>13</v>
      </c>
      <c r="E2">
        <v>10</v>
      </c>
      <c r="F2">
        <f>D2+$E$2</f>
        <v>23</v>
      </c>
      <c r="G2">
        <f t="shared" ref="G2:H2" si="0">E2+F2</f>
        <v>33</v>
      </c>
      <c r="H2">
        <f t="shared" si="0"/>
        <v>56</v>
      </c>
    </row>
    <row r="3" spans="1:11" x14ac:dyDescent="0.3">
      <c r="A3" t="s">
        <v>42</v>
      </c>
      <c r="B3">
        <v>2</v>
      </c>
      <c r="C3">
        <v>1.2</v>
      </c>
      <c r="D3">
        <f t="shared" ref="D3:D5" si="1">B3*C3+10</f>
        <v>12.4</v>
      </c>
    </row>
    <row r="4" spans="1:11" x14ac:dyDescent="0.3">
      <c r="A4" t="s">
        <v>43</v>
      </c>
      <c r="B4">
        <v>3</v>
      </c>
      <c r="C4">
        <v>2</v>
      </c>
      <c r="D4">
        <f t="shared" si="1"/>
        <v>16</v>
      </c>
    </row>
    <row r="5" spans="1:11" x14ac:dyDescent="0.3">
      <c r="A5" t="s">
        <v>44</v>
      </c>
      <c r="B5">
        <v>3</v>
      </c>
      <c r="C5">
        <v>1.8</v>
      </c>
      <c r="D5">
        <f t="shared" si="1"/>
        <v>15.4</v>
      </c>
      <c r="I5">
        <f>Sheet1!F6</f>
        <v>30</v>
      </c>
      <c r="K5">
        <f>E2+[1]sale!$S$23</f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4FF5-11FB-47F4-BE6C-250290997EF5}">
  <dimension ref="A1:H10"/>
  <sheetViews>
    <sheetView workbookViewId="0">
      <selection activeCell="H5" sqref="H5"/>
    </sheetView>
  </sheetViews>
  <sheetFormatPr defaultRowHeight="14.4" x14ac:dyDescent="0.3"/>
  <sheetData>
    <row r="1" spans="1:8" x14ac:dyDescent="0.3">
      <c r="A1" s="1" t="s">
        <v>45</v>
      </c>
      <c r="B1" s="1" t="s">
        <v>46</v>
      </c>
      <c r="C1" s="1" t="s">
        <v>37</v>
      </c>
      <c r="G1" s="1" t="s">
        <v>54</v>
      </c>
      <c r="H1" s="1" t="s">
        <v>37</v>
      </c>
    </row>
    <row r="2" spans="1:8" x14ac:dyDescent="0.3">
      <c r="A2">
        <v>101</v>
      </c>
      <c r="B2" t="s">
        <v>47</v>
      </c>
      <c r="C2" t="s">
        <v>55</v>
      </c>
      <c r="G2">
        <v>104</v>
      </c>
      <c r="H2" t="s">
        <v>53</v>
      </c>
    </row>
    <row r="3" spans="1:8" x14ac:dyDescent="0.3">
      <c r="A3">
        <v>102</v>
      </c>
      <c r="B3" t="s">
        <v>50</v>
      </c>
      <c r="C3" t="s">
        <v>51</v>
      </c>
      <c r="G3">
        <v>103</v>
      </c>
      <c r="H3" t="s">
        <v>52</v>
      </c>
    </row>
    <row r="4" spans="1:8" x14ac:dyDescent="0.3">
      <c r="A4">
        <v>103</v>
      </c>
      <c r="B4" t="s">
        <v>50</v>
      </c>
      <c r="C4" t="s">
        <v>52</v>
      </c>
      <c r="G4">
        <v>103</v>
      </c>
      <c r="H4" t="s">
        <v>52</v>
      </c>
    </row>
    <row r="5" spans="1:8" x14ac:dyDescent="0.3">
      <c r="A5">
        <v>104</v>
      </c>
      <c r="B5" t="s">
        <v>49</v>
      </c>
      <c r="C5" t="s">
        <v>53</v>
      </c>
      <c r="G5">
        <v>101</v>
      </c>
      <c r="H5" t="s">
        <v>55</v>
      </c>
    </row>
    <row r="6" spans="1:8" x14ac:dyDescent="0.3">
      <c r="G6">
        <v>102</v>
      </c>
      <c r="H6" t="s">
        <v>51</v>
      </c>
    </row>
    <row r="7" spans="1:8" x14ac:dyDescent="0.3">
      <c r="G7">
        <v>103</v>
      </c>
      <c r="H7" t="s">
        <v>52</v>
      </c>
    </row>
    <row r="8" spans="1:8" x14ac:dyDescent="0.3">
      <c r="G8">
        <v>104</v>
      </c>
      <c r="H8" t="s">
        <v>53</v>
      </c>
    </row>
    <row r="9" spans="1:8" x14ac:dyDescent="0.3">
      <c r="G9">
        <v>101</v>
      </c>
      <c r="H9" t="s">
        <v>55</v>
      </c>
    </row>
    <row r="10" spans="1:8" x14ac:dyDescent="0.3">
      <c r="G10">
        <v>102</v>
      </c>
      <c r="H10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1148-70F9-4181-BF0F-6C23C694E457}">
  <dimension ref="B8:F10"/>
  <sheetViews>
    <sheetView tabSelected="1" workbookViewId="0">
      <selection activeCell="B14" sqref="B14:D15"/>
    </sheetView>
  </sheetViews>
  <sheetFormatPr defaultRowHeight="14.4" x14ac:dyDescent="0.3"/>
  <sheetData>
    <row r="8" spans="2:6" x14ac:dyDescent="0.3">
      <c r="B8" s="1" t="s">
        <v>45</v>
      </c>
      <c r="C8">
        <v>101</v>
      </c>
      <c r="D8">
        <v>102</v>
      </c>
      <c r="E8">
        <v>103</v>
      </c>
      <c r="F8">
        <v>104</v>
      </c>
    </row>
    <row r="9" spans="2:6" x14ac:dyDescent="0.3">
      <c r="B9" s="1" t="s">
        <v>46</v>
      </c>
      <c r="C9" t="s">
        <v>47</v>
      </c>
      <c r="D9" t="s">
        <v>50</v>
      </c>
      <c r="E9" t="s">
        <v>50</v>
      </c>
      <c r="F9" t="s">
        <v>49</v>
      </c>
    </row>
    <row r="10" spans="2:6" x14ac:dyDescent="0.3">
      <c r="B10" s="1" t="s">
        <v>37</v>
      </c>
      <c r="C10" t="s">
        <v>48</v>
      </c>
      <c r="D10" t="s">
        <v>51</v>
      </c>
      <c r="E10" t="s">
        <v>52</v>
      </c>
      <c r="F1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Mahajan</dc:creator>
  <cp:lastModifiedBy>Rahul Mahajan</cp:lastModifiedBy>
  <dcterms:created xsi:type="dcterms:W3CDTF">2015-06-05T18:17:20Z</dcterms:created>
  <dcterms:modified xsi:type="dcterms:W3CDTF">2025-10-12T14:02:30Z</dcterms:modified>
</cp:coreProperties>
</file>